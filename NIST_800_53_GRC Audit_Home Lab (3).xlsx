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yber\Desktop\kyoraiq\Cybersecurity Tracker\GRC Home Lab\"/>
    </mc:Choice>
  </mc:AlternateContent>
  <xr:revisionPtr revIDLastSave="0" documentId="8_{F7AEDB9E-0A31-434B-B9BD-A49EE97764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🏠 Start Here" sheetId="1" r:id="rId1"/>
    <sheet name="📋 Controls" sheetId="2" r:id="rId2"/>
    <sheet name="📁 Evidence Register" sheetId="3" r:id="rId3"/>
    <sheet name="📊 Dashboard" sheetId="4" r:id="rId4"/>
    <sheet name="📜 Policy Library" sheetId="5" r:id="rId5"/>
  </sheets>
  <definedNames>
    <definedName name="_xlnm._FilterDatabase" localSheetId="2" hidden="1">'📁 Evidence Register'!$A$2:$J$2</definedName>
    <definedName name="_xlnm._FilterDatabase" localSheetId="1" hidden="1">'📋 Controls'!$A$2:$R$2</definedName>
    <definedName name="_xlnm._FilterDatabase" localSheetId="4" hidden="1">'📜 Policy Library'!$A$2:$E$2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4" l="1"/>
  <c r="N28" i="4"/>
  <c r="M28" i="4"/>
  <c r="O28" i="4" s="1"/>
  <c r="L28" i="4"/>
  <c r="B28" i="4"/>
  <c r="P27" i="4"/>
  <c r="N27" i="4"/>
  <c r="M27" i="4"/>
  <c r="O27" i="4" s="1"/>
  <c r="L27" i="4"/>
  <c r="B27" i="4"/>
  <c r="P26" i="4"/>
  <c r="N26" i="4"/>
  <c r="M26" i="4"/>
  <c r="O26" i="4" s="1"/>
  <c r="L26" i="4"/>
  <c r="B26" i="4"/>
  <c r="P25" i="4"/>
  <c r="N25" i="4"/>
  <c r="M25" i="4"/>
  <c r="O25" i="4" s="1"/>
  <c r="L25" i="4"/>
  <c r="B25" i="4"/>
  <c r="P24" i="4"/>
  <c r="O24" i="4"/>
  <c r="N24" i="4"/>
  <c r="M24" i="4"/>
  <c r="L24" i="4"/>
  <c r="B24" i="4"/>
  <c r="P23" i="4"/>
  <c r="O23" i="4"/>
  <c r="N23" i="4"/>
  <c r="M23" i="4"/>
  <c r="L23" i="4"/>
  <c r="P22" i="4"/>
  <c r="N22" i="4"/>
  <c r="M22" i="4"/>
  <c r="O22" i="4" s="1"/>
  <c r="L22" i="4"/>
  <c r="P21" i="4"/>
  <c r="N21" i="4"/>
  <c r="M21" i="4"/>
  <c r="O21" i="4" s="1"/>
  <c r="L21" i="4"/>
  <c r="P20" i="4"/>
  <c r="N20" i="4"/>
  <c r="M20" i="4"/>
  <c r="O20" i="4" s="1"/>
  <c r="L20" i="4"/>
  <c r="C20" i="4"/>
  <c r="B20" i="4"/>
  <c r="P19" i="4"/>
  <c r="O19" i="4"/>
  <c r="N19" i="4"/>
  <c r="M19" i="4"/>
  <c r="L19" i="4"/>
  <c r="C19" i="4"/>
  <c r="B19" i="4"/>
  <c r="P18" i="4"/>
  <c r="N18" i="4"/>
  <c r="M18" i="4"/>
  <c r="O18" i="4" s="1"/>
  <c r="L18" i="4"/>
  <c r="C18" i="4"/>
  <c r="B18" i="4"/>
  <c r="P17" i="4"/>
  <c r="N17" i="4"/>
  <c r="M17" i="4"/>
  <c r="O17" i="4" s="1"/>
  <c r="L17" i="4"/>
  <c r="C17" i="4"/>
  <c r="B17" i="4"/>
  <c r="P16" i="4"/>
  <c r="O16" i="4"/>
  <c r="N16" i="4"/>
  <c r="M16" i="4"/>
  <c r="L16" i="4"/>
  <c r="P15" i="4"/>
  <c r="N15" i="4"/>
  <c r="M15" i="4"/>
  <c r="O15" i="4" s="1"/>
  <c r="L15" i="4"/>
  <c r="P14" i="4"/>
  <c r="O14" i="4"/>
  <c r="N14" i="4"/>
  <c r="M14" i="4"/>
  <c r="L14" i="4"/>
  <c r="P13" i="4"/>
  <c r="N13" i="4"/>
  <c r="M13" i="4"/>
  <c r="O13" i="4" s="1"/>
  <c r="L13" i="4"/>
  <c r="B13" i="4"/>
  <c r="C13" i="4" s="1"/>
  <c r="P12" i="4"/>
  <c r="O12" i="4"/>
  <c r="N12" i="4"/>
  <c r="M12" i="4"/>
  <c r="L12" i="4"/>
  <c r="C12" i="4"/>
  <c r="B12" i="4"/>
  <c r="P11" i="4"/>
  <c r="N11" i="4"/>
  <c r="M11" i="4"/>
  <c r="O11" i="4" s="1"/>
  <c r="L11" i="4"/>
  <c r="B11" i="4"/>
  <c r="C11" i="4" s="1"/>
  <c r="P10" i="4"/>
  <c r="N10" i="4"/>
  <c r="M10" i="4"/>
  <c r="O10" i="4" s="1"/>
  <c r="L10" i="4"/>
  <c r="C10" i="4"/>
  <c r="B10" i="4"/>
  <c r="Q5" i="4"/>
  <c r="M5" i="4"/>
  <c r="I5" i="4"/>
  <c r="E5" i="4"/>
  <c r="A5" i="4"/>
  <c r="J42" i="1"/>
  <c r="H42" i="1"/>
  <c r="F42" i="1"/>
  <c r="D42" i="1"/>
  <c r="B42" i="1"/>
</calcChain>
</file>

<file path=xl/sharedStrings.xml><?xml version="1.0" encoding="utf-8"?>
<sst xmlns="http://schemas.openxmlformats.org/spreadsheetml/2006/main" count="6083" uniqueCount="1853">
  <si>
    <t>🛡  NIST 800-53 Rev 5
Audit Readiness Home Lab</t>
  </si>
  <si>
    <t>300 Controls  •  19 Families  •  AWS / Azure / On-Prem / Hybrid</t>
  </si>
  <si>
    <t>📖   How To Use This Workbook</t>
  </si>
  <si>
    <t>1</t>
  </si>
  <si>
    <t>SELECT your environment</t>
  </si>
  <si>
    <t>2</t>
  </si>
  <si>
    <t>FILL IN the status columns</t>
  </si>
  <si>
    <t>For each control, update:  ✏ Implementation Status (col L)  •  Testing Status (col M)  •  Risk Level (col N)  •  Owner (col O)  •  Evidence Received (col Q).  Every column has a dropdown — just click and choose.</t>
  </si>
  <si>
    <t>3</t>
  </si>
  <si>
    <t>TRACK evidence</t>
  </si>
  <si>
    <t>Switch to  📁 Evidence Register  and fill in one row per piece of evidence needed. The Request ID, Control ID, and Due Date columns tell you what to collect and by when.</t>
  </si>
  <si>
    <t>4</t>
  </si>
  <si>
    <t>REVIEW your progress</t>
  </si>
  <si>
    <t>Open  📊 Dashboard  at any time. It updates automatically as you fill in the Controls tab — no buttons to press, no scripts to run.</t>
  </si>
  <si>
    <t>5</t>
  </si>
  <si>
    <t>USE the Policy Library</t>
  </si>
  <si>
    <t>The  📜 Policy Library  tab maps each control family to its governing policy. Use it to find which policy document covers a control and who owns it.</t>
  </si>
  <si>
    <t>🎨   Color Coding Legend</t>
  </si>
  <si>
    <t>🔴  CRITICAL</t>
  </si>
  <si>
    <t>Immediate action required — highest risk</t>
  </si>
  <si>
    <t>🟠  HIGH</t>
  </si>
  <si>
    <t>Address within 30 days</t>
  </si>
  <si>
    <t>🟡  MED</t>
  </si>
  <si>
    <t>Address within 90 days</t>
  </si>
  <si>
    <t>🟢  LOW</t>
  </si>
  <si>
    <t>Monitor and review annually</t>
  </si>
  <si>
    <t>✅  Implemented / Yes</t>
  </si>
  <si>
    <t>Control is implemented or evidence received</t>
  </si>
  <si>
    <t>❌  Not Started / No</t>
  </si>
  <si>
    <t>Control not yet addressed</t>
  </si>
  <si>
    <t>⏳  Partial / Planned</t>
  </si>
  <si>
    <t>Work in progress</t>
  </si>
  <si>
    <t>📊   Live Progress Summary  (updates automatically as you fill in the Controls tab)</t>
  </si>
  <si>
    <t>Total Controls</t>
  </si>
  <si>
    <t>Implemented</t>
  </si>
  <si>
    <t>Readiness %</t>
  </si>
  <si>
    <t>Evidence Rcvd %</t>
  </si>
  <si>
    <t>Critical/High Gaps</t>
  </si>
  <si>
    <t>💡  Tip: Use the filter arrows (▼) on the Controls tab headers to show only your environment (AWS / Azure / On-Prem / Hybrid) or only Critical/High risk controls.</t>
  </si>
  <si>
    <t>⬅  Pre-filled reference information  (do not edit)</t>
  </si>
  <si>
    <t>✏  YOUR INPUT — click any cell in these columns and use the dropdown to update</t>
  </si>
  <si>
    <t>Control Family</t>
  </si>
  <si>
    <t>Control ID</t>
  </si>
  <si>
    <t>Control Name</t>
  </si>
  <si>
    <t>Short Description</t>
  </si>
  <si>
    <t>Applies To
▼ Filter here to show your environment</t>
  </si>
  <si>
    <t>Cloud Implementation Examples</t>
  </si>
  <si>
    <t>Policy Where This Lives</t>
  </si>
  <si>
    <t>Evidence Type Needed</t>
  </si>
  <si>
    <t>Implementation Status</t>
  </si>
  <si>
    <t>Testing Status</t>
  </si>
  <si>
    <t>Risk Level</t>
  </si>
  <si>
    <t>Owner</t>
  </si>
  <si>
    <t>Evidence Link</t>
  </si>
  <si>
    <t>Evidence Received?</t>
  </si>
  <si>
    <t>Received By</t>
  </si>
  <si>
    <t>Date</t>
  </si>
  <si>
    <t>Notes / Findings</t>
  </si>
  <si>
    <t>Remediation Due Date</t>
  </si>
  <si>
    <t>AC - Access Control</t>
  </si>
  <si>
    <t>AC-1</t>
  </si>
  <si>
    <t>Policy and Procedures</t>
  </si>
  <si>
    <t>All</t>
  </si>
  <si>
    <t>AWS IAM Service Control Policies / Azure AD RBAC Policies</t>
  </si>
  <si>
    <t>Information Security Policy; Access Control Policy</t>
  </si>
  <si>
    <t>Policy doc, dated approval, version log</t>
  </si>
  <si>
    <t>Not Started</t>
  </si>
  <si>
    <t>Not Tested</t>
  </si>
  <si>
    <t>High</t>
  </si>
  <si>
    <t>No</t>
  </si>
  <si>
    <t>AC-2</t>
  </si>
  <si>
    <t>Account Management</t>
  </si>
  <si>
    <t>AWS IAM user lifecycle / Azure AD joiner-mover-leaver</t>
  </si>
  <si>
    <t>Access Control Policy; HR Onboarding SOP</t>
  </si>
  <si>
    <t>IAM user list export, provisioning tickets, quarterly access review</t>
  </si>
  <si>
    <t>AC-3</t>
  </si>
  <si>
    <t>Access Enforcement</t>
  </si>
  <si>
    <t>IAM permission boundaries / Azure Conditional Access policies</t>
  </si>
  <si>
    <t>Access Control Policy</t>
  </si>
  <si>
    <t>IAM policy JSON, role assignment screenshot, access matrix</t>
  </si>
  <si>
    <t>AC-4</t>
  </si>
  <si>
    <t>Information Flow Enforcement</t>
  </si>
  <si>
    <t>VPC Security Groups &amp; NACLs / Azure NSG + DLP rules</t>
  </si>
  <si>
    <t>Network Security Policy; Data Classification Policy</t>
  </si>
  <si>
    <t>Network diagram, firewall rule export, DLP policy config</t>
  </si>
  <si>
    <t>AC-5</t>
  </si>
  <si>
    <t>Separation of Duties</t>
  </si>
  <si>
    <t>Separate AWS accounts per role / Azure AD PIM role separation</t>
  </si>
  <si>
    <t>Access Control Policy; SoD Policy</t>
  </si>
  <si>
    <t>Role separation matrix, IAM role list, SoD report</t>
  </si>
  <si>
    <t>AC-6</t>
  </si>
  <si>
    <t>Least Privilege</t>
  </si>
  <si>
    <t>IAM Permission Boundaries, SCPs / Azure PIM least-privilege</t>
  </si>
  <si>
    <t>Privileged access review report, IAM permission boundary config</t>
  </si>
  <si>
    <t>AC-7</t>
  </si>
  <si>
    <t>Unsuccessful Logon Attempts</t>
  </si>
  <si>
    <t>Cognito lockout / Azure AD Smart Lockout config</t>
  </si>
  <si>
    <t>Access Control Policy; Password Policy</t>
  </si>
  <si>
    <t>Lockout policy screenshot, failed-login audit log</t>
  </si>
  <si>
    <t>Med</t>
  </si>
  <si>
    <t>AC-8</t>
  </si>
  <si>
    <t>System Use Notification</t>
  </si>
  <si>
    <t>Login banner on EC2/ALB / Azure AD login banner</t>
  </si>
  <si>
    <t>Acceptable Use Policy</t>
  </si>
  <si>
    <t>Login banner text, system notification screenshot</t>
  </si>
  <si>
    <t>Low</t>
  </si>
  <si>
    <t>AC-9</t>
  </si>
  <si>
    <t>Previous Logon Notification</t>
  </si>
  <si>
    <t>On-Prem</t>
  </si>
  <si>
    <t>OS-level login notifications (Windows/Linux)</t>
  </si>
  <si>
    <t>OS config screenshot, last logon notification evidence</t>
  </si>
  <si>
    <t>AC-10</t>
  </si>
  <si>
    <t>Concurrent Session Control</t>
  </si>
  <si>
    <t>Session limits in Cognito / Azure AD token lifetime policy</t>
  </si>
  <si>
    <t>Session policy config, token lifetime screenshot</t>
  </si>
  <si>
    <t>AC-11</t>
  </si>
  <si>
    <t>Device Lock</t>
  </si>
  <si>
    <t>EC2 session timeout / Azure AD session timeout policy</t>
  </si>
  <si>
    <t>Endpoint Security Policy</t>
  </si>
  <si>
    <t>Session lock policy, screen-saver GPO export</t>
  </si>
  <si>
    <t>AC-12</t>
  </si>
  <si>
    <t>Session Termination</t>
  </si>
  <si>
    <t>ALB idle timeout / Azure App Gateway session termination</t>
  </si>
  <si>
    <t>Session termination config, timeout setting screenshot</t>
  </si>
  <si>
    <t>AC-13</t>
  </si>
  <si>
    <t>Supervision and Review — Access Control</t>
  </si>
  <si>
    <t>Supervision/review procedures</t>
  </si>
  <si>
    <t>Supervision procedures, review records</t>
  </si>
  <si>
    <t>AC-14</t>
  </si>
  <si>
    <t>Permitted Actions Without Identification or Authentication</t>
  </si>
  <si>
    <t>Permitted actions list / public S3 exception approval</t>
  </si>
  <si>
    <t>Permitted action list, exception approval records</t>
  </si>
  <si>
    <t>AC-15</t>
  </si>
  <si>
    <t>Automated Marking</t>
  </si>
  <si>
    <t>Automated marking tools</t>
  </si>
  <si>
    <t>Data Classification Policy</t>
  </si>
  <si>
    <t>Marking tool config, labeled document samples</t>
  </si>
  <si>
    <t>AC-16</t>
  </si>
  <si>
    <t>Security and Privacy Attributes</t>
  </si>
  <si>
    <t>AWS Macie / Azure Information Protection labels</t>
  </si>
  <si>
    <t>Security attribute policy, labeling config</t>
  </si>
  <si>
    <t>AC-17</t>
  </si>
  <si>
    <t>Remote Access</t>
  </si>
  <si>
    <t>AWS Client VPN + MFA / Azure VPN Gateway + Conditional Access</t>
  </si>
  <si>
    <t>Remote Access Policy</t>
  </si>
  <si>
    <t>VPN config, MFA enrollment report, remote access policy</t>
  </si>
  <si>
    <t>AC-18</t>
  </si>
  <si>
    <t>Wireless Access</t>
  </si>
  <si>
    <t>On-prem wireless controller / WPA3 + 802.1X config</t>
  </si>
  <si>
    <t>Wireless Access Policy; Network Security Policy</t>
  </si>
  <si>
    <t>Wireless policy doc, WPA3/802.1X config, site survey</t>
  </si>
  <si>
    <t>AC-19</t>
  </si>
  <si>
    <t>Access Control for Mobile Devices</t>
  </si>
  <si>
    <t>AWS WorkSpaces / Microsoft Intune MDM policy</t>
  </si>
  <si>
    <t>Mobile Device Management Policy</t>
  </si>
  <si>
    <t>MDM enrollment report, device compliance dashboard</t>
  </si>
  <si>
    <t>AC-20</t>
  </si>
  <si>
    <t>Use of External Systems</t>
  </si>
  <si>
    <t>External system connection ISA/MOU / Azure B2B terms</t>
  </si>
  <si>
    <t>Third-Party Access Policy</t>
  </si>
  <si>
    <t>ISA/MOU documents, external connection inventory</t>
  </si>
  <si>
    <t>AC-21</t>
  </si>
  <si>
    <t>Information Sharing</t>
  </si>
  <si>
    <t>S3 bucket policy for sharing / Azure AD sharing settings</t>
  </si>
  <si>
    <t>Information Sharing Policy</t>
  </si>
  <si>
    <t>Information sharing agreements, sharing control config</t>
  </si>
  <si>
    <t>AC-22</t>
  </si>
  <si>
    <t>Publicly Accessible Content</t>
  </si>
  <si>
    <t>CloudFront/S3 public content policy / Azure CDN</t>
  </si>
  <si>
    <t>Public-facing content inventory, content review records</t>
  </si>
  <si>
    <t>AC-23</t>
  </si>
  <si>
    <t>Data Mining Protection</t>
  </si>
  <si>
    <t>AWS Macie DLP / Microsoft Purview exfiltration prevention</t>
  </si>
  <si>
    <t>Data Loss Prevention Policy</t>
  </si>
  <si>
    <t>DLP policy config, exfiltration alert logs</t>
  </si>
  <si>
    <t>AC-24</t>
  </si>
  <si>
    <t>Access Control Decisions</t>
  </si>
  <si>
    <t>IAM attribute-based access / Azure ABAC storage conditions</t>
  </si>
  <si>
    <t>ABAC policy definition, decision audit log</t>
  </si>
  <si>
    <t>AC-25</t>
  </si>
  <si>
    <t>Reference Monitor</t>
  </si>
  <si>
    <t>EC2 reference monitors via Security Groups / Azure NSG isolation</t>
  </si>
  <si>
    <t>Access Control Policy; Network Security Policy</t>
  </si>
  <si>
    <t>Reference monitor config, isolation architecture doc</t>
  </si>
  <si>
    <t>AT - Awareness and Training</t>
  </si>
  <si>
    <t>AT-1</t>
  </si>
  <si>
    <t>LMS platform (org-wide)</t>
  </si>
  <si>
    <t>Security Awareness &amp; Training Policy</t>
  </si>
  <si>
    <t>Policy doc, training calendar, approval records</t>
  </si>
  <si>
    <t>AT-2</t>
  </si>
  <si>
    <t>Literacy Training and Awareness</t>
  </si>
  <si>
    <t>Annual security awareness training via LMS</t>
  </si>
  <si>
    <t>LMS completion report, training content, sign-off records</t>
  </si>
  <si>
    <t>AT-3</t>
  </si>
  <si>
    <t>Role-based Training</t>
  </si>
  <si>
    <t>Cloud admin / DevSecOps role-based training</t>
  </si>
  <si>
    <t>Role-Based Training SOP</t>
  </si>
  <si>
    <t>Role-based training certs, curriculum, completion records</t>
  </si>
  <si>
    <t>AT-4</t>
  </si>
  <si>
    <t>Training Records</t>
  </si>
  <si>
    <t>LMS training records / HR system training log</t>
  </si>
  <si>
    <t>Training record export, personnel training file</t>
  </si>
  <si>
    <t>AT-5</t>
  </si>
  <si>
    <t>Contacts with Security Groups and Associations</t>
  </si>
  <si>
    <t>Contracts with training providers</t>
  </si>
  <si>
    <t>Vendor Management Policy</t>
  </si>
  <si>
    <t>Training service contracts, contact list</t>
  </si>
  <si>
    <t>AT-6</t>
  </si>
  <si>
    <t>Training Feedback</t>
  </si>
  <si>
    <t>Privileged user / insider threat training</t>
  </si>
  <si>
    <t>Admin training records, insider threat training completion</t>
  </si>
  <si>
    <t>AU - Audit and Accountability</t>
  </si>
  <si>
    <t>AU-1</t>
  </si>
  <si>
    <t>Org-wide audit policy document</t>
  </si>
  <si>
    <t>Logging &amp; Monitoring Policy</t>
  </si>
  <si>
    <t>Policy doc, version history</t>
  </si>
  <si>
    <t>AU-2</t>
  </si>
  <si>
    <t>Event Logging</t>
  </si>
  <si>
    <t>AWS CloudTrail event selectors / Azure Monitor Diagnostic Settings</t>
  </si>
  <si>
    <t>CloudTrail config, enabled event categories screenshot</t>
  </si>
  <si>
    <t>AU-3</t>
  </si>
  <si>
    <t>Content of Audit Records</t>
  </si>
  <si>
    <t>CloudTrail record structure / Azure Activity Log schema</t>
  </si>
  <si>
    <t>Sample log records with all required fields, schema doc</t>
  </si>
  <si>
    <t>AU-4</t>
  </si>
  <si>
    <t>Audit Log Storage Capacity</t>
  </si>
  <si>
    <t>CloudWatch log group storage / Azure Log Analytics capacity</t>
  </si>
  <si>
    <t>Log storage config, CloudWatch log group settings</t>
  </si>
  <si>
    <t>AU-5</t>
  </si>
  <si>
    <t>Response to Audit Logging Process Failures</t>
  </si>
  <si>
    <t>CloudWatch alarms on log failure / Azure Monitor alerts</t>
  </si>
  <si>
    <t>Logging &amp; Monitoring Policy; Incident Response Policy</t>
  </si>
  <si>
    <t>Alert config, notification routing, test alert evidence</t>
  </si>
  <si>
    <t>AU-6</t>
  </si>
  <si>
    <t>Audit Record Review, Analysis, and Reporting</t>
  </si>
  <si>
    <t>AWS GuardDuty + Security Hub / Microsoft Sentinel</t>
  </si>
  <si>
    <t>Security Operations (SIEM) Policy</t>
  </si>
  <si>
    <t>SIEM alert report, log review SOP, analyst review records</t>
  </si>
  <si>
    <t>AU-7</t>
  </si>
  <si>
    <t>Audit Record Reduction and Report Generation</t>
  </si>
  <si>
    <t>CloudWatch Insights / Azure Log Analytics KQL queries</t>
  </si>
  <si>
    <t>Log query examples, reduction/report tool config</t>
  </si>
  <si>
    <t>AU-8</t>
  </si>
  <si>
    <t>Time Stamps</t>
  </si>
  <si>
    <t>CloudTrail timestamps / Azure NTP time sync config</t>
  </si>
  <si>
    <t>NTP config, timestamp accuracy evidence</t>
  </si>
  <si>
    <t>AU-9</t>
  </si>
  <si>
    <t>Protection of Audit Information</t>
  </si>
  <si>
    <t>S3 log bucket restricted policy / Azure immutable blob storage</t>
  </si>
  <si>
    <t>Log bucket access policy, immutability config</t>
  </si>
  <si>
    <t>AU-10</t>
  </si>
  <si>
    <t>Non-repudiation</t>
  </si>
  <si>
    <t>CloudTrail log file integrity validation / Azure signed logs</t>
  </si>
  <si>
    <t>Logging &amp; Monitoring Policy; Data Integrity Policy</t>
  </si>
  <si>
    <t>Log integrity validation config, tamper-evident log evidence</t>
  </si>
  <si>
    <t>AU-11</t>
  </si>
  <si>
    <t>Audit Record Retention</t>
  </si>
  <si>
    <t>S3 lifecycle rules (retain 1yr+) / Azure Log Analytics retention</t>
  </si>
  <si>
    <t>Records Retention Policy</t>
  </si>
  <si>
    <t>Retention policy, S3 lifecycle config, log archive evidence</t>
  </si>
  <si>
    <t>AU-12</t>
  </si>
  <si>
    <t>Audit Record Generation</t>
  </si>
  <si>
    <t>CloudTrail multi-region / Azure Diagnostic Settings all resources</t>
  </si>
  <si>
    <t>Audit generation config, log source inventory</t>
  </si>
  <si>
    <t>AU-13</t>
  </si>
  <si>
    <t>Monitoring for Information Disclosure</t>
  </si>
  <si>
    <t>OSINT/dark-web monitoring for org info</t>
  </si>
  <si>
    <t>Threat Intelligence Policy</t>
  </si>
  <si>
    <t>External monitoring tool config, reports</t>
  </si>
  <si>
    <t>AU-14</t>
  </si>
  <si>
    <t>Session Audit</t>
  </si>
  <si>
    <t>AWS Systems Manager Session Manager / Azure Bastion recording</t>
  </si>
  <si>
    <t>Privileged Access Policy</t>
  </si>
  <si>
    <t>Session recording config, recording retention policy</t>
  </si>
  <si>
    <t>AU-15</t>
  </si>
  <si>
    <t>Alternate Audit Logging Capability</t>
  </si>
  <si>
    <t>Centralized alternate audit capability</t>
  </si>
  <si>
    <t>Logging &amp; Monitoring Policy; BCP Policy</t>
  </si>
  <si>
    <t>Alternate logging config, failover audit evidence</t>
  </si>
  <si>
    <t>AU-16</t>
  </si>
  <si>
    <t>Cross-organizational Audit Logging</t>
  </si>
  <si>
    <t>Cross-tenant logging coordination</t>
  </si>
  <si>
    <t>Logging &amp; Monitoring Policy; Third-Party Policy</t>
  </si>
  <si>
    <t>Cross-org logging agreement, multi-tenant config</t>
  </si>
  <si>
    <t>CA - Assessment, Authorization, and Monitoring</t>
  </si>
  <si>
    <t>CA-1</t>
  </si>
  <si>
    <t>Org-wide assessment &amp; authorization policy</t>
  </si>
  <si>
    <t>Security Assessment &amp; Authorization Policy</t>
  </si>
  <si>
    <t>Policy doc, version history, approval records</t>
  </si>
  <si>
    <t>CA-2</t>
  </si>
  <si>
    <t>Control Assessments</t>
  </si>
  <si>
    <t>Third-party assessment / internal audit</t>
  </si>
  <si>
    <t>Assessment plan, report, assessor qualifications</t>
  </si>
  <si>
    <t>CA-3</t>
  </si>
  <si>
    <t>Information Exchange</t>
  </si>
  <si>
    <t>AWS Landing Zone connections / Azure Hub-Spoke interconnections</t>
  </si>
  <si>
    <t>Interconnection Security Agreement; Network Policy</t>
  </si>
  <si>
    <t>ISA/MOU documents, system interconnection inventory</t>
  </si>
  <si>
    <t>CA-4</t>
  </si>
  <si>
    <t>Security Certification</t>
  </si>
  <si>
    <t>POA&amp;M in GRC tool / spreadsheet tracker</t>
  </si>
  <si>
    <t>Risk Management Policy</t>
  </si>
  <si>
    <t>POA&amp;M document, remediation tracking, milestones</t>
  </si>
  <si>
    <t>CA-5</t>
  </si>
  <si>
    <t>Plan of Action and Milestones</t>
  </si>
  <si>
    <t>POA&amp;M open items tracker</t>
  </si>
  <si>
    <t>POA&amp;M tracker, open items, closure evidence</t>
  </si>
  <si>
    <t>CA-6</t>
  </si>
  <si>
    <t>Authorization</t>
  </si>
  <si>
    <t>ATO / FedRAMP authorization package</t>
  </si>
  <si>
    <t>Security Authorization Policy</t>
  </si>
  <si>
    <t>ATO letter, authorization decision, expiry date</t>
  </si>
  <si>
    <t>CA-7</t>
  </si>
  <si>
    <t>Continuous Monitoring</t>
  </si>
  <si>
    <t>AWS Security Hub continuous monitoring / Microsoft Defender for Cloud</t>
  </si>
  <si>
    <t>Continuous Monitoring Policy</t>
  </si>
  <si>
    <t>Monitoring strategy doc, tool config, alert reports</t>
  </si>
  <si>
    <t>CA-8</t>
  </si>
  <si>
    <t>Penetration Testing</t>
  </si>
  <si>
    <t>Annual third-party penetration test</t>
  </si>
  <si>
    <t>Vulnerability Management Policy</t>
  </si>
  <si>
    <t>Pen test report, scope agreement, remediation evidence</t>
  </si>
  <si>
    <t>CA-9</t>
  </si>
  <si>
    <t>Internal System Connections</t>
  </si>
  <si>
    <t>Internal system connections inventory</t>
  </si>
  <si>
    <t>Network Security Policy</t>
  </si>
  <si>
    <t>Internal connection inventory, authorization records</t>
  </si>
  <si>
    <t>CM - Configuration Management</t>
  </si>
  <si>
    <t>CM-1</t>
  </si>
  <si>
    <t>Org-wide configuration management policy</t>
  </si>
  <si>
    <t>Configuration Management Policy</t>
  </si>
  <si>
    <t>CM policy doc, version history</t>
  </si>
  <si>
    <t>CM-2</t>
  </si>
  <si>
    <t>Baseline Configuration</t>
  </si>
  <si>
    <t>AWS Config baseline / Azure Policy + Blueprints</t>
  </si>
  <si>
    <t>Baseline config doc, AWS Config rules, golden AMI</t>
  </si>
  <si>
    <t>CM-3</t>
  </si>
  <si>
    <t>Configuration Change Control</t>
  </si>
  <si>
    <t>AWS Change Manager / Azure DevOps change pipeline</t>
  </si>
  <si>
    <t>Change Management Policy</t>
  </si>
  <si>
    <t>Change records, CAB minutes, approval evidence</t>
  </si>
  <si>
    <t>CM-4</t>
  </si>
  <si>
    <t>Impact Analyses</t>
  </si>
  <si>
    <t>Security impact analysis in change requests</t>
  </si>
  <si>
    <t>Change Management Policy; Risk Management Policy</t>
  </si>
  <si>
    <t>Security impact analysis records, change risk assessments</t>
  </si>
  <si>
    <t>CM-5</t>
  </si>
  <si>
    <t>Access Restrictions for Change</t>
  </si>
  <si>
    <t>IAM deploy permissions / Azure DevOps branch protection</t>
  </si>
  <si>
    <t>Change Management Policy; Access Control Policy</t>
  </si>
  <si>
    <t>Deploy permissions config, branch protection rules</t>
  </si>
  <si>
    <t>CM-6</t>
  </si>
  <si>
    <t>Configuration Settings</t>
  </si>
  <si>
    <t>AWS Systems Manager / Azure Automanage</t>
  </si>
  <si>
    <t>Configuration Management Policy; Hardening Policy</t>
  </si>
  <si>
    <t>CIS benchmark results, SSM compliance report</t>
  </si>
  <si>
    <t>CM-7</t>
  </si>
  <si>
    <t>Least Functionality</t>
  </si>
  <si>
    <t>Security Groups deny-all-inbound / Azure NSG default deny</t>
  </si>
  <si>
    <t>Configuration Management Policy; Network Security Policy</t>
  </si>
  <si>
    <t>Security group rules, NSG inbound rules, service inventory</t>
  </si>
  <si>
    <t>CM-8</t>
  </si>
  <si>
    <t>System Component Inventory</t>
  </si>
  <si>
    <t>AWS Config resource inventory / Azure Resource Graph</t>
  </si>
  <si>
    <t>Asset Management Policy</t>
  </si>
  <si>
    <t>Resource inventory export, CMDB screenshot</t>
  </si>
  <si>
    <t>CM-9</t>
  </si>
  <si>
    <t>Configuration Management Plan</t>
  </si>
  <si>
    <t>IaC (Terraform / Bicep) config management plan</t>
  </si>
  <si>
    <t>CM plan doc, IaC repository, review records</t>
  </si>
  <si>
    <t>CM-10</t>
  </si>
  <si>
    <t>Software Usage Restrictions</t>
  </si>
  <si>
    <t>Software license management / AWS Marketplace license tracking</t>
  </si>
  <si>
    <t>Software License Management Policy</t>
  </si>
  <si>
    <t>License inventory, approved software list</t>
  </si>
  <si>
    <t>CM-11</t>
  </si>
  <si>
    <t>User-installed Software</t>
  </si>
  <si>
    <t>AWS Config rule: approved AMIs / Azure Policy: approved images</t>
  </si>
  <si>
    <t>Approved software list, enforcement evidence</t>
  </si>
  <si>
    <t>CM-12</t>
  </si>
  <si>
    <t>Information Location</t>
  </si>
  <si>
    <t>AWS Config / Azure Policy info location tracking</t>
  </si>
  <si>
    <t>Data Governance Policy</t>
  </si>
  <si>
    <t>Information location inventory, data flow diagrams</t>
  </si>
  <si>
    <t>CM-13</t>
  </si>
  <si>
    <t>Data Action Mapping</t>
  </si>
  <si>
    <t>Data inventory tagging / Azure Purview data map</t>
  </si>
  <si>
    <t>Data classification map, tagging policy, inventory</t>
  </si>
  <si>
    <t>CM-14</t>
  </si>
  <si>
    <t>Signed Components</t>
  </si>
  <si>
    <t>Signed software enforcement / Secure Boot on EC2</t>
  </si>
  <si>
    <t>Configuration Management Policy; Endpoint Security Policy</t>
  </si>
  <si>
    <t>Code signing policy, Secure Boot config</t>
  </si>
  <si>
    <t>CP - Contingency Planning</t>
  </si>
  <si>
    <t>CP-1</t>
  </si>
  <si>
    <t>Org-wide contingency planning policy</t>
  </si>
  <si>
    <t>BCP / Disaster Recovery Policy</t>
  </si>
  <si>
    <t>CP policy doc, version history</t>
  </si>
  <si>
    <t>CP-2</t>
  </si>
  <si>
    <t>Contingency Plan</t>
  </si>
  <si>
    <t>AWS DR runbook / Azure Site Recovery plan</t>
  </si>
  <si>
    <t>BCP/DRP document, tabletop exercise report</t>
  </si>
  <si>
    <t>CP-3</t>
  </si>
  <si>
    <t>Contingency Training</t>
  </si>
  <si>
    <t>Annual DR training / tabletop exercises</t>
  </si>
  <si>
    <t>BCP / Disaster Recovery Policy; Training Policy</t>
  </si>
  <si>
    <t>DR training records, exercise after-action reports</t>
  </si>
  <si>
    <t>CP-4</t>
  </si>
  <si>
    <t>Contingency Plan Testing</t>
  </si>
  <si>
    <t>Annual DR test / AWS Game Days</t>
  </si>
  <si>
    <t>DR test plan, test results, RTO/RPO validation</t>
  </si>
  <si>
    <t>CP-5</t>
  </si>
  <si>
    <t>Contingency Plan Update</t>
  </si>
  <si>
    <t>See NIST 800-53r5 documentation</t>
  </si>
  <si>
    <t>Relevant security policy</t>
  </si>
  <si>
    <t>Policy document, configuration evidence, test results</t>
  </si>
  <si>
    <t>CP-6</t>
  </si>
  <si>
    <t>Alternate Storage Site</t>
  </si>
  <si>
    <t>S3 Cross-Region Replication / Azure Geo-Redundant Storage</t>
  </si>
  <si>
    <t>Alternate storage config, replication status</t>
  </si>
  <si>
    <t>CP-7</t>
  </si>
  <si>
    <t>Alternate Processing Site</t>
  </si>
  <si>
    <t>Multi-region active-active / Azure paired regions</t>
  </si>
  <si>
    <t>Alternate processing site config, DR architecture diagram</t>
  </si>
  <si>
    <t>CP-8</t>
  </si>
  <si>
    <t>Telecommunications Services</t>
  </si>
  <si>
    <t>AWS Direct Connect redundant / Azure ExpressRoute redundancy</t>
  </si>
  <si>
    <t>BCP / Disaster Recovery Policy; Network Policy</t>
  </si>
  <si>
    <t>Telecom redundancy config, ISP diversity evidence</t>
  </si>
  <si>
    <t>CP-9</t>
  </si>
  <si>
    <t>System Backup</t>
  </si>
  <si>
    <t>AWS Backup vault / Azure Backup vault</t>
  </si>
  <si>
    <t>Backup &amp; Recovery Policy</t>
  </si>
  <si>
    <t>Backup schedule config, test restore report, retention settings</t>
  </si>
  <si>
    <t>CP-10</t>
  </si>
  <si>
    <t>System Recovery and Reconstitution</t>
  </si>
  <si>
    <t>Multi-AZ deployments / Azure Availability Zones + ASR</t>
  </si>
  <si>
    <t>RTO/RPO test results, recovery runbook</t>
  </si>
  <si>
    <t>CP-11</t>
  </si>
  <si>
    <t>Alternate Communications Protocols</t>
  </si>
  <si>
    <t>Alternate comms (SNS + SQS) / Azure Service Bus redundancy</t>
  </si>
  <si>
    <t>BCP Policy</t>
  </si>
  <si>
    <t>Alternate comms config, failover comms test evidence</t>
  </si>
  <si>
    <t>CP-12</t>
  </si>
  <si>
    <t>Safe Mode</t>
  </si>
  <si>
    <t>Circuit breakers / graceful degradation (rate limiting)</t>
  </si>
  <si>
    <t>BCP / System Architecture Policy</t>
  </si>
  <si>
    <t>Safe mode config, graceful degradation design doc</t>
  </si>
  <si>
    <t>CP-13</t>
  </si>
  <si>
    <t>Alternative Security Mechanisms</t>
  </si>
  <si>
    <t>Alternative security mechanisms during contingency</t>
  </si>
  <si>
    <t>BCP Policy; Incident Response Policy</t>
  </si>
  <si>
    <t>Alternative controls list, contingency activation plan</t>
  </si>
  <si>
    <t>IA - Identification and Authentication</t>
  </si>
  <si>
    <t>IA-1</t>
  </si>
  <si>
    <t>Org-wide IA policy</t>
  </si>
  <si>
    <t>Identity &amp; Authentication Policy</t>
  </si>
  <si>
    <t>IA policy doc, version history</t>
  </si>
  <si>
    <t>IA-2</t>
  </si>
  <si>
    <t>Identification and Authentication (Organizational Users)</t>
  </si>
  <si>
    <t>IAM + MFA required / Azure AD MFA + Conditional Access</t>
  </si>
  <si>
    <t>Identity &amp; Authentication Policy; MFA Policy</t>
  </si>
  <si>
    <t>MFA enforcement policy, MFA enrollment report, CA rules</t>
  </si>
  <si>
    <t>Critical</t>
  </si>
  <si>
    <t>IA-3</t>
  </si>
  <si>
    <t>Device Identification and Authentication</t>
  </si>
  <si>
    <t>Device certificates (AWS IoT / Azure Device Identity)</t>
  </si>
  <si>
    <t>Identity &amp; Authentication Policy; Endpoint Security Policy</t>
  </si>
  <si>
    <t>Device identity config, certificate inventory</t>
  </si>
  <si>
    <t>IA-4</t>
  </si>
  <si>
    <t>Identifier Management</t>
  </si>
  <si>
    <t>IAM unique user IDs / Azure AD UPN uniqueness</t>
  </si>
  <si>
    <t>Account naming policy, IAM user list, no-sharing evidence</t>
  </si>
  <si>
    <t>IA-5</t>
  </si>
  <si>
    <t>Authenticator Management</t>
  </si>
  <si>
    <t>Secrets Manager rotation / Azure Key Vault credential rotation</t>
  </si>
  <si>
    <t>Password &amp; Credential Management Policy</t>
  </si>
  <si>
    <t>Password policy, rotation config, Secrets Manager rotation</t>
  </si>
  <si>
    <t>IA-6</t>
  </si>
  <si>
    <t>Authentication Feedback</t>
  </si>
  <si>
    <t>Password field masking / Azure AD sign-in hardening</t>
  </si>
  <si>
    <t>Masked fields screenshot, authenticator feedback config</t>
  </si>
  <si>
    <t>IA-7</t>
  </si>
  <si>
    <t>Cryptographic Module Authentication</t>
  </si>
  <si>
    <t>FIPS 140-2/3 validated modules in AWS GovCloud / Azure FIPS</t>
  </si>
  <si>
    <t>Encryption Policy</t>
  </si>
  <si>
    <t>FIPS compliance evidence, cryptographic module certificates</t>
  </si>
  <si>
    <t>IA-8</t>
  </si>
  <si>
    <t>Identification and Authentication (Non-organizational Users)</t>
  </si>
  <si>
    <t>Amazon Cognito + PIV/CAC / Azure AD External Identities + SAML</t>
  </si>
  <si>
    <t>External identity config, federation settings, PIV evidence</t>
  </si>
  <si>
    <t>IA-9</t>
  </si>
  <si>
    <t>Service Identification and Authentication</t>
  </si>
  <si>
    <t>Service-to-service auth via OIDC / Workload Identity Federation</t>
  </si>
  <si>
    <t>Service identity config, OIDC federation setup</t>
  </si>
  <si>
    <t>IA-10</t>
  </si>
  <si>
    <t>Adaptive Authentication</t>
  </si>
  <si>
    <t>Step-up auth (Cognito advanced security) / Azure AD risky sign-ins</t>
  </si>
  <si>
    <t>Adaptive auth config, risk-based authentication evidence</t>
  </si>
  <si>
    <t>IA-11</t>
  </si>
  <si>
    <t>Re-authentication</t>
  </si>
  <si>
    <t>Session re-auth on privilege escalation / PIM step-up</t>
  </si>
  <si>
    <t>Re-auth config, privilege escalation workflow evidence</t>
  </si>
  <si>
    <t>IA-12</t>
  </si>
  <si>
    <t>Identity Proofing</t>
  </si>
  <si>
    <t>AWS Verified Access / Azure Verified ID</t>
  </si>
  <si>
    <t>Identity &amp; Authentication Policy; Zero Trust Policy</t>
  </si>
  <si>
    <t>Identity proofing process doc, enrollment evidence</t>
  </si>
  <si>
    <t>IA-13</t>
  </si>
  <si>
    <t>Identity Providers and Authorization Servers</t>
  </si>
  <si>
    <t>IR - Incident Response</t>
  </si>
  <si>
    <t>IR-1</t>
  </si>
  <si>
    <t>Org-wide IR policy</t>
  </si>
  <si>
    <t>Incident Response Policy</t>
  </si>
  <si>
    <t>IR policy doc, version history</t>
  </si>
  <si>
    <t>IR-2</t>
  </si>
  <si>
    <t>Incident Response Training</t>
  </si>
  <si>
    <t>Annual IR training / tabletop exercises</t>
  </si>
  <si>
    <t>Incident Response Policy; Training Policy</t>
  </si>
  <si>
    <t>IR training records, exercise after-action report</t>
  </si>
  <si>
    <t>IR-3</t>
  </si>
  <si>
    <t>Incident Response Testing</t>
  </si>
  <si>
    <t>Annual IR tabletop / red team exercise</t>
  </si>
  <si>
    <t>IR test plan, exercise report, lessons learned</t>
  </si>
  <si>
    <t>IR-4</t>
  </si>
  <si>
    <t>Incident Handling</t>
  </si>
  <si>
    <t>GuardDuty + Lambda auto-response / Sentinel playbooks</t>
  </si>
  <si>
    <t>IR runbook, last 3 incident reports, escalation matrix</t>
  </si>
  <si>
    <t>IR-5</t>
  </si>
  <si>
    <t>Incident Monitoring</t>
  </si>
  <si>
    <t>Security Hub incident tracking / Defender incidents + ITSM</t>
  </si>
  <si>
    <t>Incident log/ticketing export, incident metrics report</t>
  </si>
  <si>
    <t>IR-6</t>
  </si>
  <si>
    <t>Incident Reporting</t>
  </si>
  <si>
    <t>SNS escalation + CISA reporting / Azure alerts + regulatory notification</t>
  </si>
  <si>
    <t>Incident Response Policy; Regulatory Compliance Policy</t>
  </si>
  <si>
    <t>Notification templates, escalation matrix, CISA reporting</t>
  </si>
  <si>
    <t>IR-7</t>
  </si>
  <si>
    <t>Incident Response Assistance</t>
  </si>
  <si>
    <t>AWS Support + SOC retainer / Microsoft Support + MSSP</t>
  </si>
  <si>
    <t>SOC retainer agreement, IR support contacts</t>
  </si>
  <si>
    <t>IR-8</t>
  </si>
  <si>
    <t>Incident Response Plan</t>
  </si>
  <si>
    <t>Documented IR plan</t>
  </si>
  <si>
    <t>IR plan doc, contact list, escalation procedures</t>
  </si>
  <si>
    <t>IR-9</t>
  </si>
  <si>
    <t>Information Spillage Response</t>
  </si>
  <si>
    <t>Spillage response procedures</t>
  </si>
  <si>
    <t>Incident Response Policy; Data Classification Policy</t>
  </si>
  <si>
    <t>Information spillage plan, classification procedures</t>
  </si>
  <si>
    <t>IR-10</t>
  </si>
  <si>
    <t>Integrated Information Security Analysis Team</t>
  </si>
  <si>
    <t>Integrated IR team (security + IT + legal + HR)</t>
  </si>
  <si>
    <t>IR team org chart, RACI matrix</t>
  </si>
  <si>
    <t>MA - Maintenance</t>
  </si>
  <si>
    <t>MA-1</t>
  </si>
  <si>
    <t>N/A cloud-native / on-prem maintenance procedures</t>
  </si>
  <si>
    <t>System Maintenance Policy</t>
  </si>
  <si>
    <t>Maintenance policy doc</t>
  </si>
  <si>
    <t>MA-2</t>
  </si>
  <si>
    <t>Controlled Maintenance</t>
  </si>
  <si>
    <t>Cloud provider handles / Azure Dedicated Host maintenance</t>
  </si>
  <si>
    <t>Maintenance schedule, change records</t>
  </si>
  <si>
    <t>MA-3</t>
  </si>
  <si>
    <t>Maintenance Tools</t>
  </si>
  <si>
    <t>Approved tools list for on-prem maintenance</t>
  </si>
  <si>
    <t>Approved maintenance tools list, tool access controls</t>
  </si>
  <si>
    <t>MA-4</t>
  </si>
  <si>
    <t>Nonlocal Maintenance</t>
  </si>
  <si>
    <t>AWS Systems Manager Session Manager / Azure Bastion</t>
  </si>
  <si>
    <t>Remote Access Policy; System Maintenance Policy</t>
  </si>
  <si>
    <t>Remote maintenance config, session logs, MFA evidence</t>
  </si>
  <si>
    <t>MA-5</t>
  </si>
  <si>
    <t>Maintenance Personnel</t>
  </si>
  <si>
    <t>Vendor access controls / Azure Lighthouse for MSP</t>
  </si>
  <si>
    <t>Vendor Management Policy; System Maintenance Policy</t>
  </si>
  <si>
    <t>Maintenance personnel list, access authorization records</t>
  </si>
  <si>
    <t>MA-6</t>
  </si>
  <si>
    <t>Timely Maintenance</t>
  </si>
  <si>
    <t>Timely maintenance scheduling / spare parts inventory</t>
  </si>
  <si>
    <t>System Maintenance Policy; BCP Policy</t>
  </si>
  <si>
    <t>Maintenance SLAs, spare parts inventory</t>
  </si>
  <si>
    <t>MA-7</t>
  </si>
  <si>
    <t>Field Maintenance</t>
  </si>
  <si>
    <t>Field maintenance with remote support</t>
  </si>
  <si>
    <t>Field maintenance procedures, remote oversight config</t>
  </si>
  <si>
    <t>MP - Media Protection</t>
  </si>
  <si>
    <t>MP-1</t>
  </si>
  <si>
    <t>Org-wide media protection policy</t>
  </si>
  <si>
    <t>Media Protection Policy</t>
  </si>
  <si>
    <t>Media protection policy doc</t>
  </si>
  <si>
    <t>MP-2</t>
  </si>
  <si>
    <t>Media Access</t>
  </si>
  <si>
    <t>S3 bucket ACLs / Azure Blob private access levels</t>
  </si>
  <si>
    <t>Media Protection Policy; Data Classification Policy</t>
  </si>
  <si>
    <t>Bucket policy, access controls, media access list</t>
  </si>
  <si>
    <t>MP-3</t>
  </si>
  <si>
    <t>Media Marking</t>
  </si>
  <si>
    <t>Data classification tagging (S3 object tags / Azure labels)</t>
  </si>
  <si>
    <t>Tagging policy, labeled media evidence</t>
  </si>
  <si>
    <t>MP-4</t>
  </si>
  <si>
    <t>Media Storage</t>
  </si>
  <si>
    <t>Physical media storage / locked cabinets</t>
  </si>
  <si>
    <t>Physical Security Policy</t>
  </si>
  <si>
    <t>Physical media log, locked storage evidence</t>
  </si>
  <si>
    <t>MP-5</t>
  </si>
  <si>
    <t>Media Transport</t>
  </si>
  <si>
    <t>Encrypted transport / couriers with chain of custody</t>
  </si>
  <si>
    <t>Media transport procedures, chain of custody forms</t>
  </si>
  <si>
    <t>MP-6</t>
  </si>
  <si>
    <t>Media Sanitization</t>
  </si>
  <si>
    <t>AWS Snowball erasure / Azure disk wipe on decommission</t>
  </si>
  <si>
    <t>Media Protection Policy; Data Destruction Policy</t>
  </si>
  <si>
    <t>Sanitization policy, destruction certificates</t>
  </si>
  <si>
    <t>MP-7</t>
  </si>
  <si>
    <t>Media Use</t>
  </si>
  <si>
    <t>MDM policy / USB block policy</t>
  </si>
  <si>
    <t>Media Protection Policy; Endpoint Security Policy</t>
  </si>
  <si>
    <t>Removable media policy, USB block config</t>
  </si>
  <si>
    <t>MP-8</t>
  </si>
  <si>
    <t>Media Downgrading</t>
  </si>
  <si>
    <t>Downgrading / declassification procedures</t>
  </si>
  <si>
    <t>Downgrading procedures, declassification records</t>
  </si>
  <si>
    <t>PE - Physical and Environmental Protection</t>
  </si>
  <si>
    <t>PE-1</t>
  </si>
  <si>
    <t>Cloud provider handles / on-prem physical security policy</t>
  </si>
  <si>
    <t>Physical &amp; Environmental Security Policy</t>
  </si>
  <si>
    <t>Physical security policy doc</t>
  </si>
  <si>
    <t>PE-2</t>
  </si>
  <si>
    <t>Physical Access Authorizations</t>
  </si>
  <si>
    <t>Badge access list / datacenter visitor log</t>
  </si>
  <si>
    <t>Physical access list, badge access log</t>
  </si>
  <si>
    <t>PE-3</t>
  </si>
  <si>
    <t>Physical Access Control</t>
  </si>
  <si>
    <t>Badge readers, guards, cameras / mantraps</t>
  </si>
  <si>
    <t>Access control system config, guard schedule, camera coverage</t>
  </si>
  <si>
    <t>PE-4</t>
  </si>
  <si>
    <t>Access Control for Transmission</t>
  </si>
  <si>
    <t>Secure cabling, locked racks</t>
  </si>
  <si>
    <t>Cabling standards, rack lock evidence</t>
  </si>
  <si>
    <t>PE-5</t>
  </si>
  <si>
    <t>Access Control for Output Devices</t>
  </si>
  <si>
    <t>Display screen privacy filters, positioning</t>
  </si>
  <si>
    <t>Output device placement policy, privacy filter evidence</t>
  </si>
  <si>
    <t>PE-6</t>
  </si>
  <si>
    <t>Monitoring Physical Access</t>
  </si>
  <si>
    <t>CCTV monitoring / security guard logs</t>
  </si>
  <si>
    <t>Monitoring schedule, camera coverage map</t>
  </si>
  <si>
    <t>PE-7</t>
  </si>
  <si>
    <t>Visitor Control</t>
  </si>
  <si>
    <t>Visitor escort procedures</t>
  </si>
  <si>
    <t>Visitor escort policy, visitor log</t>
  </si>
  <si>
    <t>PE-8</t>
  </si>
  <si>
    <t>Visitor Access Records</t>
  </si>
  <si>
    <t>Electronic badge access log / paper visitor log</t>
  </si>
  <si>
    <t>Access log export, retention policy</t>
  </si>
  <si>
    <t>PE-9</t>
  </si>
  <si>
    <t>Power Equipment and Cabling</t>
  </si>
  <si>
    <t>Power distribution units / UPS systems</t>
  </si>
  <si>
    <t>Physical &amp; Environmental Security Policy; BCP Policy</t>
  </si>
  <si>
    <t>Power supply config, UPS test records</t>
  </si>
  <si>
    <t>PE-10</t>
  </si>
  <si>
    <t>Emergency Shutoff</t>
  </si>
  <si>
    <t>Emergency power shutoff documentation</t>
  </si>
  <si>
    <t>Emergency shutoff procedures, shutoff switch location</t>
  </si>
  <si>
    <t>PE-11</t>
  </si>
  <si>
    <t>Emergency Power</t>
  </si>
  <si>
    <t>UPS / generator backup power</t>
  </si>
  <si>
    <t>UPS/generator test records, maintenance schedule</t>
  </si>
  <si>
    <t>PE-12</t>
  </si>
  <si>
    <t>Emergency Lighting</t>
  </si>
  <si>
    <t>Emergency lighting systems</t>
  </si>
  <si>
    <t>Emergency lighting test records, inspection certs</t>
  </si>
  <si>
    <t>PE-13</t>
  </si>
  <si>
    <t>Fire Protection</t>
  </si>
  <si>
    <t>Fire suppression systems / smoke detectors</t>
  </si>
  <si>
    <t>Fire suppression inspection records, smoke detector test logs</t>
  </si>
  <si>
    <t>PE-14</t>
  </si>
  <si>
    <t>Environmental Controls</t>
  </si>
  <si>
    <t>HVAC controls / temperature monitoring</t>
  </si>
  <si>
    <t>Environmental monitoring config, HVAC maintenance records</t>
  </si>
  <si>
    <t>PE-15</t>
  </si>
  <si>
    <t>Water Damage Protection</t>
  </si>
  <si>
    <t>Water leak detectors / raised floors</t>
  </si>
  <si>
    <t>Water detection sensor config, leak detection test records</t>
  </si>
  <si>
    <t>PE-16</t>
  </si>
  <si>
    <t>Delivery and Removal</t>
  </si>
  <si>
    <t>Delivery and removal controls / receiving procedures</t>
  </si>
  <si>
    <t>Delivery procedures, receiving log, authorized vendor list</t>
  </si>
  <si>
    <t>PE-17</t>
  </si>
  <si>
    <t>Alternate Work Site</t>
  </si>
  <si>
    <t>Alternate work site security controls</t>
  </si>
  <si>
    <t>Physical Security Policy; Remote Work Policy</t>
  </si>
  <si>
    <t>Alternate site security policy, home office checklist</t>
  </si>
  <si>
    <t>PE-18</t>
  </si>
  <si>
    <t>Location of System Components</t>
  </si>
  <si>
    <t>Component placement to minimize environmental damage</t>
  </si>
  <si>
    <t>Facility design doc, component placement standards</t>
  </si>
  <si>
    <t>PE-19</t>
  </si>
  <si>
    <t>Information Leakage</t>
  </si>
  <si>
    <t>EM shielding / TEMPEST controls</t>
  </si>
  <si>
    <t>EM shielding assessment, TEMPEST compliance evidence</t>
  </si>
  <si>
    <t>PE-20</t>
  </si>
  <si>
    <t>Asset Monitoring and Tracking</t>
  </si>
  <si>
    <t>Asset location tracking / RFID tags</t>
  </si>
  <si>
    <t>Asset tracking system config, location inventory</t>
  </si>
  <si>
    <t>PE-21</t>
  </si>
  <si>
    <t>Electromagnetic Pulse Protection</t>
  </si>
  <si>
    <t>Electromagnetic pulse protection</t>
  </si>
  <si>
    <t>EMP protection assessment, shielding evidence</t>
  </si>
  <si>
    <t>PE-22</t>
  </si>
  <si>
    <t>Component Marking</t>
  </si>
  <si>
    <t>Component marking procedures</t>
  </si>
  <si>
    <t>Component marking policy, labeled equipment inventory</t>
  </si>
  <si>
    <t>PE-23</t>
  </si>
  <si>
    <t>Facility Location</t>
  </si>
  <si>
    <t>Facility site planning</t>
  </si>
  <si>
    <t>Site selection criteria, facility risk assessment</t>
  </si>
  <si>
    <t>PL - Planning</t>
  </si>
  <si>
    <t>PL-1</t>
  </si>
  <si>
    <t>Org-wide security planning policy</t>
  </si>
  <si>
    <t>Security Planning Policy</t>
  </si>
  <si>
    <t>Planning policy doc, version history</t>
  </si>
  <si>
    <t>PL-2</t>
  </si>
  <si>
    <t>System Security and Privacy Plans</t>
  </si>
  <si>
    <t>System Security Plan (SSP) document</t>
  </si>
  <si>
    <t>System Security Plan (SSP)</t>
  </si>
  <si>
    <t>SSP document, last review date, approval signature</t>
  </si>
  <si>
    <t>PL-3</t>
  </si>
  <si>
    <t>System Security Plan Update</t>
  </si>
  <si>
    <t>PL-4</t>
  </si>
  <si>
    <t>Rules of Behavior</t>
  </si>
  <si>
    <t>Rules of behavior / acceptable use policy</t>
  </si>
  <si>
    <t>Signed ROB/AUP, acknowledgment records, annual review</t>
  </si>
  <si>
    <t>PL-5</t>
  </si>
  <si>
    <t>Privacy Impact Assessment</t>
  </si>
  <si>
    <t>PL-6</t>
  </si>
  <si>
    <t>Security-related Activity Planning</t>
  </si>
  <si>
    <t>PL-7</t>
  </si>
  <si>
    <t>Concept of Operations</t>
  </si>
  <si>
    <t>Concept of Operations (CONOPS)</t>
  </si>
  <si>
    <t>CONOPS document, mission/function description</t>
  </si>
  <si>
    <t>PL-8</t>
  </si>
  <si>
    <t>Security and Privacy Architectures</t>
  </si>
  <si>
    <t>Security/privacy architecture documentation</t>
  </si>
  <si>
    <t>Security Architecture Policy</t>
  </si>
  <si>
    <t>Security architecture doc, design principles, review</t>
  </si>
  <si>
    <t>PL-9</t>
  </si>
  <si>
    <t>Central Management</t>
  </si>
  <si>
    <t>Central management of security controls</t>
  </si>
  <si>
    <t>Security Planning Policy; Configuration Management Policy</t>
  </si>
  <si>
    <t>Centrally managed controls list, management tool config</t>
  </si>
  <si>
    <t>PL-10</t>
  </si>
  <si>
    <t>Baseline Selection</t>
  </si>
  <si>
    <t>Baseline selection (Low/Moderate/High) documented</t>
  </si>
  <si>
    <t>Security Planning Policy; Risk Management Policy</t>
  </si>
  <si>
    <t>Baseline selection rationale, FIPS 199 categorization</t>
  </si>
  <si>
    <t>PL-11</t>
  </si>
  <si>
    <t>Baseline Tailoring</t>
  </si>
  <si>
    <t>Baseline tailoring decisions documented</t>
  </si>
  <si>
    <t>Tailoring rationale, scoping decisions, compensating controls</t>
  </si>
  <si>
    <t>PM - Program Management</t>
  </si>
  <si>
    <t>PM-1</t>
  </si>
  <si>
    <t>Information Security Program Plan</t>
  </si>
  <si>
    <t>Enterprise security program plan</t>
  </si>
  <si>
    <t>Information Security Program Policy</t>
  </si>
  <si>
    <t>Security program plan, CISO charter, program roadmap</t>
  </si>
  <si>
    <t>PM-2</t>
  </si>
  <si>
    <t>Information Security Program Leadership Role</t>
  </si>
  <si>
    <t>CISO designation and responsibilities</t>
  </si>
  <si>
    <t>CISO appointment letter, role description, org chart</t>
  </si>
  <si>
    <t>PM-3</t>
  </si>
  <si>
    <t>Information Security and Privacy Resources</t>
  </si>
  <si>
    <t>Security resource allocation in budget</t>
  </si>
  <si>
    <t>Security budget line items, resource allocation records</t>
  </si>
  <si>
    <t>PM-4</t>
  </si>
  <si>
    <t>Plan of Action and Milestones Process</t>
  </si>
  <si>
    <t>POA&amp;M process and tracking</t>
  </si>
  <si>
    <t>Risk Management Policy; Security Authorization Policy</t>
  </si>
  <si>
    <t>POA&amp;M policy, tracking tool, open/closed items</t>
  </si>
  <si>
    <t>PM-5</t>
  </si>
  <si>
    <t>System Inventory</t>
  </si>
  <si>
    <t>System inventory in CMDB/asset management</t>
  </si>
  <si>
    <t>System inventory export, CMDB screenshot</t>
  </si>
  <si>
    <t>PM-6</t>
  </si>
  <si>
    <t>Measures of Performance</t>
  </si>
  <si>
    <t>Security metrics and performance measures</t>
  </si>
  <si>
    <t>Metrics dashboard, KPI definitions, reporting schedule</t>
  </si>
  <si>
    <t>PM-7</t>
  </si>
  <si>
    <t>Enterprise Architecture</t>
  </si>
  <si>
    <t>Enterprise architecture integration</t>
  </si>
  <si>
    <t>Enterprise Architecture Policy</t>
  </si>
  <si>
    <t>EA framework doc, security integration evidence</t>
  </si>
  <si>
    <t>PM-8</t>
  </si>
  <si>
    <t>Critical Infrastructure Plan</t>
  </si>
  <si>
    <t>Critical infrastructure protection plan</t>
  </si>
  <si>
    <t>Risk Management Policy; BCP Policy</t>
  </si>
  <si>
    <t>CIP plan, critical asset inventory, threat assessment</t>
  </si>
  <si>
    <t>PM-9</t>
  </si>
  <si>
    <t>Risk Management Strategy</t>
  </si>
  <si>
    <t>Risk management strategy</t>
  </si>
  <si>
    <t>Risk management strategy doc, risk register, risk tolerance</t>
  </si>
  <si>
    <t>PM-10</t>
  </si>
  <si>
    <t>Authorization Process</t>
  </si>
  <si>
    <t>ATO / FedRAMP authorization process</t>
  </si>
  <si>
    <t>Authorization process SOP, ATO letters, expiry tracking</t>
  </si>
  <si>
    <t>PM-11</t>
  </si>
  <si>
    <t>Mission and Business Process Definition</t>
  </si>
  <si>
    <t>Mission/business process definition</t>
  </si>
  <si>
    <t>Security Planning Policy; Business Impact Analysis</t>
  </si>
  <si>
    <t>Mission statement, BIA, process criticality rankings</t>
  </si>
  <si>
    <t>PM-12</t>
  </si>
  <si>
    <t>Insider Threat Program</t>
  </si>
  <si>
    <t>Insider threat program</t>
  </si>
  <si>
    <t>Insider Threat Policy; Personnel Security Policy</t>
  </si>
  <si>
    <t>Insider threat program plan, training records, monitoring config</t>
  </si>
  <si>
    <t>PM-13</t>
  </si>
  <si>
    <t>Security and Privacy Workforce</t>
  </si>
  <si>
    <t>Security workforce development</t>
  </si>
  <si>
    <t>Security skills inventory, training plan, cert records</t>
  </si>
  <si>
    <t>PM-14</t>
  </si>
  <si>
    <t>Testing, Training, and Monitoring</t>
  </si>
  <si>
    <t>Testing, training, and monitoring</t>
  </si>
  <si>
    <t>Security Assessment Policy</t>
  </si>
  <si>
    <t>Testing calendar, training schedule, monitoring reports</t>
  </si>
  <si>
    <t>PM-15</t>
  </si>
  <si>
    <t>Security and Privacy Groups and Associations</t>
  </si>
  <si>
    <t>Contacts with security groups and ISACs</t>
  </si>
  <si>
    <t>Threat intel subscription, ISAC membership, vendor contacts</t>
  </si>
  <si>
    <t>PM-16</t>
  </si>
  <si>
    <t>Threat Awareness Program</t>
  </si>
  <si>
    <t>Threat awareness program</t>
  </si>
  <si>
    <t>Threat intel feeds, threat briefings, awareness comms</t>
  </si>
  <si>
    <t>PM-17</t>
  </si>
  <si>
    <t>Protecting Controlled Unclassified Information on External Systems</t>
  </si>
  <si>
    <t>Protecting CUI on non-federal systems</t>
  </si>
  <si>
    <t>Data Classification Policy; Third-Party Policy</t>
  </si>
  <si>
    <t>CUI handling policy, non-federal system agreements</t>
  </si>
  <si>
    <t>PM-18</t>
  </si>
  <si>
    <t>Privacy Program Plan</t>
  </si>
  <si>
    <t>Privacy program plan</t>
  </si>
  <si>
    <t>Privacy Policy</t>
  </si>
  <si>
    <t>Privacy program plan, DPO designation, program scope</t>
  </si>
  <si>
    <t>PM-19</t>
  </si>
  <si>
    <t>Privacy Program Leadership Role</t>
  </si>
  <si>
    <t>Privacy leadership — DPO/CPO</t>
  </si>
  <si>
    <t>DPO/CPO appointment, role description, reporting line</t>
  </si>
  <si>
    <t>PM-20</t>
  </si>
  <si>
    <t>Dissemination of Privacy Program Information</t>
  </si>
  <si>
    <t>Dissemination of privacy program info</t>
  </si>
  <si>
    <t>Privacy notice, public-facing privacy policy, employee notice</t>
  </si>
  <si>
    <t>PM-21</t>
  </si>
  <si>
    <t>Accounting of Disclosures</t>
  </si>
  <si>
    <t>Accounting of disclosures</t>
  </si>
  <si>
    <t>Privacy Policy; Records Management Policy</t>
  </si>
  <si>
    <t>Disclosure log, consent records, data sharing register</t>
  </si>
  <si>
    <t>PM-22</t>
  </si>
  <si>
    <t>Personally Identifiable Information Quality Management</t>
  </si>
  <si>
    <t>Personally identifiable information quality management</t>
  </si>
  <si>
    <t>Data Quality Policy; Privacy Policy</t>
  </si>
  <si>
    <t>PII quality controls, data accuracy procedures</t>
  </si>
  <si>
    <t>PM-23</t>
  </si>
  <si>
    <t>Data Governance Body</t>
  </si>
  <si>
    <t>Data governance body</t>
  </si>
  <si>
    <t>Data governance charter, committee meeting records</t>
  </si>
  <si>
    <t>PM-24</t>
  </si>
  <si>
    <t>Data Integrity Board</t>
  </si>
  <si>
    <t>Data integrity board</t>
  </si>
  <si>
    <t>Data integrity board charter, review records</t>
  </si>
  <si>
    <t>PM-25</t>
  </si>
  <si>
    <t>Minimization of Personally Identifiable Information Used in Testing, Training, and Research</t>
  </si>
  <si>
    <t>Minimization of PII used in testing</t>
  </si>
  <si>
    <t>Test data policy, PII masking procedures</t>
  </si>
  <si>
    <t>PM-26</t>
  </si>
  <si>
    <t>Complaint Management</t>
  </si>
  <si>
    <t>Complaint management for privacy</t>
  </si>
  <si>
    <t>Privacy complaint process, complaint log, resolution records</t>
  </si>
  <si>
    <t>PM-27</t>
  </si>
  <si>
    <t>Privacy Reporting</t>
  </si>
  <si>
    <t>Privacy reporting</t>
  </si>
  <si>
    <t>Privacy Policy; Regulatory Compliance Policy</t>
  </si>
  <si>
    <t>Privacy metrics report, breach reports</t>
  </si>
  <si>
    <t>PM-28</t>
  </si>
  <si>
    <t>Risk Framing</t>
  </si>
  <si>
    <t>Risk framing</t>
  </si>
  <si>
    <t>Risk framing document, assumptions, constraints</t>
  </si>
  <si>
    <t>PM-29</t>
  </si>
  <si>
    <t>Risk Management Program Leadership Roles</t>
  </si>
  <si>
    <t>Risk executive designation</t>
  </si>
  <si>
    <t>Risk executive designation, risk governance structure</t>
  </si>
  <si>
    <t>PM-30</t>
  </si>
  <si>
    <t>Supply Chain Risk Management Strategy</t>
  </si>
  <si>
    <t>Supply chain risk management strategy</t>
  </si>
  <si>
    <t>Supply Chain Risk Management Policy</t>
  </si>
  <si>
    <t>SCRM strategy, vendor risk program, third-party assessments</t>
  </si>
  <si>
    <t>PM-31</t>
  </si>
  <si>
    <t>Continuous Monitoring Strategy</t>
  </si>
  <si>
    <t>Continuous improvement — remediation</t>
  </si>
  <si>
    <t>Risk Management Policy; Continuous Improvement Policy</t>
  </si>
  <si>
    <t>Lessons learned log, improvement tracking, corrective actions</t>
  </si>
  <si>
    <t>PM-32</t>
  </si>
  <si>
    <t>Purposing</t>
  </si>
  <si>
    <t>Purposing / system purpose documentation</t>
  </si>
  <si>
    <t>System purpose doc, mission alignment records</t>
  </si>
  <si>
    <t>PS - Personnel Security</t>
  </si>
  <si>
    <t>PS-1</t>
  </si>
  <si>
    <t>Org-wide personnel security policy</t>
  </si>
  <si>
    <t>Personnel Security Policy</t>
  </si>
  <si>
    <t>Personnel security policy doc</t>
  </si>
  <si>
    <t>PS-2</t>
  </si>
  <si>
    <t>Position Risk Designation</t>
  </si>
  <si>
    <t>Position risk designation / job descriptions</t>
  </si>
  <si>
    <t>Personnel Security Policy; HR Policy</t>
  </si>
  <si>
    <t>Position risk designations, job descriptions, sensitive role list</t>
  </si>
  <si>
    <t>PS-3</t>
  </si>
  <si>
    <t>Personnel Screening</t>
  </si>
  <si>
    <t>Background checks for all staff</t>
  </si>
  <si>
    <t>Background check policy, HR process doc, completion records</t>
  </si>
  <si>
    <t>PS-4</t>
  </si>
  <si>
    <t>Personnel Termination</t>
  </si>
  <si>
    <t>Account disable on termination / offboarding workflow</t>
  </si>
  <si>
    <t>Personnel Security Policy; HR Offboarding Policy</t>
  </si>
  <si>
    <t>Offboarding checklist, account disable evidence</t>
  </si>
  <si>
    <t>PS-5</t>
  </si>
  <si>
    <t>Personnel Transfer</t>
  </si>
  <si>
    <t>Access review on transfer / role change</t>
  </si>
  <si>
    <t>Access Control Policy; Personnel Security Policy</t>
  </si>
  <si>
    <t>Transfer checklist, access review evidence</t>
  </si>
  <si>
    <t>PS-6</t>
  </si>
  <si>
    <t>Access Agreements</t>
  </si>
  <si>
    <t>Signed access agreements / NDA</t>
  </si>
  <si>
    <t>Personnel Security Policy; Acceptable Use Policy</t>
  </si>
  <si>
    <t>Signed NDA/AUP records, agreement templates</t>
  </si>
  <si>
    <t>PS-7</t>
  </si>
  <si>
    <t>External Personnel Security</t>
  </si>
  <si>
    <t>Contractor/vendor personnel security requirements</t>
  </si>
  <si>
    <t>Vendor Management Policy; Personnel Security Policy</t>
  </si>
  <si>
    <t>Contractor security requirements in contracts, vetting records</t>
  </si>
  <si>
    <t>PS-8</t>
  </si>
  <si>
    <t>Personnel Sanctions</t>
  </si>
  <si>
    <t>Personnel sanctions process for violations</t>
  </si>
  <si>
    <t>Sanctions policy, disciplinary procedure, HR process</t>
  </si>
  <si>
    <t>PS-9</t>
  </si>
  <si>
    <t>Position Descriptions</t>
  </si>
  <si>
    <t>Position descriptions with security responsibilities</t>
  </si>
  <si>
    <t>Position descriptions with security duties, org chart</t>
  </si>
  <si>
    <t>PT - Personally Identifiable Information Processing and Transparency</t>
  </si>
  <si>
    <t>PT-1</t>
  </si>
  <si>
    <t>Org-wide PII processing policy</t>
  </si>
  <si>
    <t>Privacy Policy; Data Classification Policy</t>
  </si>
  <si>
    <t>PII policy doc, privacy notice</t>
  </si>
  <si>
    <t>PT-2</t>
  </si>
  <si>
    <t>Authority to Process Personally Identifiable Information</t>
  </si>
  <si>
    <t>Legal authority for PII processing</t>
  </si>
  <si>
    <t>Privacy Policy; Legal &amp; Compliance Policy</t>
  </si>
  <si>
    <t>Legal basis doc, consent records, regulatory citations</t>
  </si>
  <si>
    <t>PT-3</t>
  </si>
  <si>
    <t>Personally Identifiable Information Processing Purposes</t>
  </si>
  <si>
    <t>Purpose specification — why PII is collected</t>
  </si>
  <si>
    <t>Privacy notice, data collection purpose statements, DPIA</t>
  </si>
  <si>
    <t>PT-4</t>
  </si>
  <si>
    <t>Consent</t>
  </si>
  <si>
    <t>Consent for PII collection</t>
  </si>
  <si>
    <t>Consent mechanism, opt-in records, consent withdrawal process</t>
  </si>
  <si>
    <t>PT-5</t>
  </si>
  <si>
    <t>Privacy Notice</t>
  </si>
  <si>
    <t>Privacy notice (external-facing)</t>
  </si>
  <si>
    <t>Published privacy notice, update history, plain-language review</t>
  </si>
  <si>
    <t>PT-6</t>
  </si>
  <si>
    <t>System of Records Notice</t>
  </si>
  <si>
    <t>Privacy requirements in system of records notices (SORN)</t>
  </si>
  <si>
    <t>SORN publication, Federal Register notice</t>
  </si>
  <si>
    <t>PT-7</t>
  </si>
  <si>
    <t>Specific Categories of Personally Identifiable Information</t>
  </si>
  <si>
    <t>Consistent use / data minimization</t>
  </si>
  <si>
    <t>Privacy Policy; Data Governance Policy</t>
  </si>
  <si>
    <t>Data use limitation policy, data minimization procedures</t>
  </si>
  <si>
    <t>PT-8</t>
  </si>
  <si>
    <t>Computer Matching Requirements</t>
  </si>
  <si>
    <t>Individual access to PII — DSAR process</t>
  </si>
  <si>
    <t>DSAR process, request log, response time records</t>
  </si>
  <si>
    <t>RA - Risk Assessment</t>
  </si>
  <si>
    <t>RA-1</t>
  </si>
  <si>
    <t>Org-wide risk assessment policy</t>
  </si>
  <si>
    <t>Risk assessment policy doc</t>
  </si>
  <si>
    <t>RA-2</t>
  </si>
  <si>
    <t>Security Categorization</t>
  </si>
  <si>
    <t>FIPS 199 / data classification</t>
  </si>
  <si>
    <t>Risk Management Policy; Data Classification Policy</t>
  </si>
  <si>
    <t>Security categorization doc, FIPS 199 worksheet</t>
  </si>
  <si>
    <t>RA-3</t>
  </si>
  <si>
    <t>Risk Assessment</t>
  </si>
  <si>
    <t>Annual risk assessment</t>
  </si>
  <si>
    <t>Risk assessment report, risk register, review date</t>
  </si>
  <si>
    <t>RA-4</t>
  </si>
  <si>
    <t>Risk Assessment Update</t>
  </si>
  <si>
    <t>Risk assessment updates on change</t>
  </si>
  <si>
    <t>Risk update policy, change-triggered re-assessment evidence</t>
  </si>
  <si>
    <t>RA-5</t>
  </si>
  <si>
    <t>Vulnerability Monitoring and Scanning</t>
  </si>
  <si>
    <t>AWS Inspector v2 / Microsoft Defender for Cloud CSPM</t>
  </si>
  <si>
    <t>Vulnerability scan report, CVSS scores, remediation tracker</t>
  </si>
  <si>
    <t>RA-6</t>
  </si>
  <si>
    <t>Technical Surveillance Countermeasures Survey</t>
  </si>
  <si>
    <t>Technical surveillance countermeasures (TSCM)</t>
  </si>
  <si>
    <t>Risk Management Policy; Physical Security Policy</t>
  </si>
  <si>
    <t>TSCM assessment records, survey reports</t>
  </si>
  <si>
    <t>RA-7</t>
  </si>
  <si>
    <t>Risk Response</t>
  </si>
  <si>
    <t>Risk response — accept/mitigate/transfer/avoid</t>
  </si>
  <si>
    <t>Risk response decisions, risk acceptance records, treatment plans</t>
  </si>
  <si>
    <t>RA-8</t>
  </si>
  <si>
    <t>Privacy Impact Assessments</t>
  </si>
  <si>
    <t>Privacy impact assessments (PIA/DPIA)</t>
  </si>
  <si>
    <t>Privacy Policy; Risk Management Policy</t>
  </si>
  <si>
    <t>PIA documents, DPIA records, privacy risk assessments</t>
  </si>
  <si>
    <t>RA-9</t>
  </si>
  <si>
    <t>Criticality Analysis</t>
  </si>
  <si>
    <t>Criticality analysis of system components</t>
  </si>
  <si>
    <t>Criticality analysis report, component risk ratings</t>
  </si>
  <si>
    <t>RA-10</t>
  </si>
  <si>
    <t>Threat Hunting</t>
  </si>
  <si>
    <t>Threat modeling (STRIDE/PASTA)</t>
  </si>
  <si>
    <t>Risk Management Policy; Secure Development Policy</t>
  </si>
  <si>
    <t>Threat model documents, DREAD scores</t>
  </si>
  <si>
    <t>SA - System and Services Acquisition</t>
  </si>
  <si>
    <t>SA-1</t>
  </si>
  <si>
    <t>Org-wide system acquisition policy</t>
  </si>
  <si>
    <t>System &amp; Services Acquisition Policy</t>
  </si>
  <si>
    <t>Acquisition policy doc</t>
  </si>
  <si>
    <t>SA-2</t>
  </si>
  <si>
    <t>Allocation of Resources</t>
  </si>
  <si>
    <t>IT security resource allocation in procurement</t>
  </si>
  <si>
    <t>System &amp; Services Acquisition Policy; Budget Policy</t>
  </si>
  <si>
    <t>Budget allocation records, security line items</t>
  </si>
  <si>
    <t>SA-3</t>
  </si>
  <si>
    <t>System Development Life Cycle</t>
  </si>
  <si>
    <t>Secure SDLC / DevSecOps pipeline</t>
  </si>
  <si>
    <t>Secure Development Policy</t>
  </si>
  <si>
    <t>SDLC policy, DevSecOps pipeline config, security gates</t>
  </si>
  <si>
    <t>SA-4</t>
  </si>
  <si>
    <t>Acquisition Process</t>
  </si>
  <si>
    <t>Security requirements in acquisition contracts</t>
  </si>
  <si>
    <t>Contract security requirements, vendor security clauses</t>
  </si>
  <si>
    <t>SA-5</t>
  </si>
  <si>
    <t>System Documentation</t>
  </si>
  <si>
    <t>Vendor-provided system documentation</t>
  </si>
  <si>
    <t>Vendor documentation inventory, user guides</t>
  </si>
  <si>
    <t>SA-6</t>
  </si>
  <si>
    <t>SA-7</t>
  </si>
  <si>
    <t>SA-8</t>
  </si>
  <si>
    <t>Security and Privacy Engineering Principles</t>
  </si>
  <si>
    <t>Security/privacy engineering principles (Zero Trust)</t>
  </si>
  <si>
    <t>Secure Architecture Policy</t>
  </si>
  <si>
    <t>Architecture principles doc, design review records</t>
  </si>
  <si>
    <t>SA-9</t>
  </si>
  <si>
    <t>External System Services</t>
  </si>
  <si>
    <t>External system service contracts / FedRAMP authorized</t>
  </si>
  <si>
    <t>FedRAMP authorization listings, vendor contracts</t>
  </si>
  <si>
    <t>SA-10</t>
  </si>
  <si>
    <t>Developer Configuration Management</t>
  </si>
  <si>
    <t>Developer config management / code repo controls</t>
  </si>
  <si>
    <t>Secure Development Policy; Configuration Management Policy</t>
  </si>
  <si>
    <t>Code repo config, branch protection, SAST/SCA integration</t>
  </si>
  <si>
    <t>SA-11</t>
  </si>
  <si>
    <t>Developer Testing and Evaluation</t>
  </si>
  <si>
    <t>Security testing in SDLC (SAST/DAST/SCA)</t>
  </si>
  <si>
    <t>Secure Development Policy; Vulnerability Management Policy</t>
  </si>
  <si>
    <t>SAST/DAST/SCA scan results, pen test reports</t>
  </si>
  <si>
    <t>SA-12</t>
  </si>
  <si>
    <t>Supply Chain Protection</t>
  </si>
  <si>
    <t>Supply chain protection (SBOM, vendor vetting)</t>
  </si>
  <si>
    <t>SBOM, vendor security assessments, OSS risk reports</t>
  </si>
  <si>
    <t>SA-13</t>
  </si>
  <si>
    <t>Trustworthiness</t>
  </si>
  <si>
    <t>SA-14</t>
  </si>
  <si>
    <t>SA-15</t>
  </si>
  <si>
    <t>Development Process, Standards, and Tools</t>
  </si>
  <si>
    <t>Development process standards</t>
  </si>
  <si>
    <t>Development standards doc, coding standards, peer review</t>
  </si>
  <si>
    <t>SA-16</t>
  </si>
  <si>
    <t>Developer-provided Training</t>
  </si>
  <si>
    <t>Developer training on security</t>
  </si>
  <si>
    <t>Secure Development Policy; Training Policy</t>
  </si>
  <si>
    <t>Developer security training records, secure coding certs</t>
  </si>
  <si>
    <t>SA-17</t>
  </si>
  <si>
    <t>Developer Security and Privacy Architecture and Design</t>
  </si>
  <si>
    <t>Developer security architecture and design</t>
  </si>
  <si>
    <t>Security architecture specs, design documentation</t>
  </si>
  <si>
    <t>SA-18</t>
  </si>
  <si>
    <t>Tamper Resistance and Detection</t>
  </si>
  <si>
    <t>Tamper resistance and detection</t>
  </si>
  <si>
    <t>Anti-tamper procedures, tamper-evident controls</t>
  </si>
  <si>
    <t>SA-19</t>
  </si>
  <si>
    <t>Component Authenticity</t>
  </si>
  <si>
    <t>Component authenticity</t>
  </si>
  <si>
    <t>Component provenance records, authenticity verification</t>
  </si>
  <si>
    <t>SA-20</t>
  </si>
  <si>
    <t>Customized Development of Critical Components</t>
  </si>
  <si>
    <t>Customized development security requirements</t>
  </si>
  <si>
    <t>Custom development security requirements, secure coding</t>
  </si>
  <si>
    <t>SA-21</t>
  </si>
  <si>
    <t>Developer Screening</t>
  </si>
  <si>
    <t>Developer screening / background checks</t>
  </si>
  <si>
    <t>Developer background check policy, vetting records</t>
  </si>
  <si>
    <t>SA-22</t>
  </si>
  <si>
    <t>Unsupported System Components</t>
  </si>
  <si>
    <t>Unsupported component EOL management</t>
  </si>
  <si>
    <t>EOL/EOS component inventory, upgrade/replacement plans</t>
  </si>
  <si>
    <t>SA-23</t>
  </si>
  <si>
    <t>Specialization</t>
  </si>
  <si>
    <t>Specialization controls for niche components</t>
  </si>
  <si>
    <t>Specialized component controls, niche system security requirements</t>
  </si>
  <si>
    <t>SA-24</t>
  </si>
  <si>
    <t>Design For Cyber Resiliency</t>
  </si>
  <si>
    <t>SC - System and Communications Protection</t>
  </si>
  <si>
    <t>SC-1</t>
  </si>
  <si>
    <t>Org-wide system &amp; comms protection policy</t>
  </si>
  <si>
    <t>Network Security Policy; SC Policy</t>
  </si>
  <si>
    <t>SC policy doc</t>
  </si>
  <si>
    <t>SC-2</t>
  </si>
  <si>
    <t>Separation of System and User Functionality</t>
  </si>
  <si>
    <t>Application partitioning / microservices isolation</t>
  </si>
  <si>
    <t>SC Policy; Network Security Policy</t>
  </si>
  <si>
    <t>Architecture diagram, application partition config</t>
  </si>
  <si>
    <t>SC-3</t>
  </si>
  <si>
    <t>Security Function Isolation</t>
  </si>
  <si>
    <t>Security function isolation (separate security processes)</t>
  </si>
  <si>
    <t>SC Policy</t>
  </si>
  <si>
    <t>Security process isolation config, privileged process inventory</t>
  </si>
  <si>
    <t>SC-4</t>
  </si>
  <si>
    <t>Information in Shared System Resources</t>
  </si>
  <si>
    <t>Info in shared resources — data remanence controls</t>
  </si>
  <si>
    <t>SC Policy; Data Classification Policy</t>
  </si>
  <si>
    <t>Shared resource config, memory handling procedures</t>
  </si>
  <si>
    <t>SC-5</t>
  </si>
  <si>
    <t>Denial-of-service Protection</t>
  </si>
  <si>
    <t>AWS Shield Standard/Advanced / Azure DDoS Protection Standard</t>
  </si>
  <si>
    <t>Network Security Policy; BCP Policy</t>
  </si>
  <si>
    <t>DDoS protection config, Shield subscription, mitigation evidence</t>
  </si>
  <si>
    <t>SC-6</t>
  </si>
  <si>
    <t>Resource Availability</t>
  </si>
  <si>
    <t>Resource availability controls (rate limiting / quotas)</t>
  </si>
  <si>
    <t>Resource quota config, rate limiting policy</t>
  </si>
  <si>
    <t>SC-7</t>
  </si>
  <si>
    <t>Boundary Protection</t>
  </si>
  <si>
    <t>VPC + Security Groups + NACLs / Azure NSG + Azure Firewall</t>
  </si>
  <si>
    <t>Network diagram, firewall rules export, boundary config</t>
  </si>
  <si>
    <t>SC-8</t>
  </si>
  <si>
    <t>Transmission Confidentiality and Integrity</t>
  </si>
  <si>
    <t>TLS 1.2/1.3 enforced on all endpoints / Azure App GW TLS</t>
  </si>
  <si>
    <t>Encryption Policy; Network Security Policy</t>
  </si>
  <si>
    <t>TLS policy config, SSL cert evidence, cipher suite config</t>
  </si>
  <si>
    <t>SC-9</t>
  </si>
  <si>
    <t>Transmission Confidentiality</t>
  </si>
  <si>
    <t>SC-10</t>
  </si>
  <si>
    <t>Network Disconnect</t>
  </si>
  <si>
    <t>Network session timeouts / idle disconnect</t>
  </si>
  <si>
    <t>Network Security Policy; Access Control Policy</t>
  </si>
  <si>
    <t>Session timeout config, idle disconnect policy</t>
  </si>
  <si>
    <t>SC-11</t>
  </si>
  <si>
    <t>Trusted Path</t>
  </si>
  <si>
    <t>Trusted path controls</t>
  </si>
  <si>
    <t>Trusted path implementation evidence</t>
  </si>
  <si>
    <t>SC-12</t>
  </si>
  <si>
    <t>Cryptographic Key Establishment and Management</t>
  </si>
  <si>
    <t>AWS KMS key management / Azure Key Vault</t>
  </si>
  <si>
    <t>Encryption Policy; Key Management Policy</t>
  </si>
  <si>
    <t>KMS key policy, key rotation config, key lifecycle doc</t>
  </si>
  <si>
    <t>SC-13</t>
  </si>
  <si>
    <t>Cryptographic Protection</t>
  </si>
  <si>
    <t>AES-256 encryption / FIPS-validated algorithms</t>
  </si>
  <si>
    <t>Encryption algorithm config, FIPS validation evidence</t>
  </si>
  <si>
    <t>SC-14</t>
  </si>
  <si>
    <t>Public Access Protections</t>
  </si>
  <si>
    <t>SC-15</t>
  </si>
  <si>
    <t>Collaborative Computing Devices and Applications</t>
  </si>
  <si>
    <t>Collaboration tool security (Chime/Teams settings)</t>
  </si>
  <si>
    <t>Acceptable Use Policy; Network Security Policy</t>
  </si>
  <si>
    <t>Collaboration tool security config, remote activation controls</t>
  </si>
  <si>
    <t>SC-16</t>
  </si>
  <si>
    <t>Transmission of Security and Privacy Attributes</t>
  </si>
  <si>
    <t>Security attribute transmission</t>
  </si>
  <si>
    <t>Security label transmission config, attribute binding</t>
  </si>
  <si>
    <t>SC-17</t>
  </si>
  <si>
    <t>Public Key Infrastructure Certificates</t>
  </si>
  <si>
    <t>PKI certificates (AWS ACM / Azure App Service certs)</t>
  </si>
  <si>
    <t>Certificate inventory, PKI policy, CA config</t>
  </si>
  <si>
    <t>SC-18</t>
  </si>
  <si>
    <t>Mobile Code</t>
  </si>
  <si>
    <t>Mobile code controls (CSP headers, browser policy)</t>
  </si>
  <si>
    <t>SC Policy; Acceptable Use Policy</t>
  </si>
  <si>
    <t>Mobile code policy, CSP header config</t>
  </si>
  <si>
    <t>SC-19</t>
  </si>
  <si>
    <t>Voice Over Internet Protocol</t>
  </si>
  <si>
    <t>VoIP security controls</t>
  </si>
  <si>
    <t>VoIP security config, signaling encryption evidence</t>
  </si>
  <si>
    <t>SC-20</t>
  </si>
  <si>
    <t>Secure Name/Address Resolution Service (Authoritative Source)</t>
  </si>
  <si>
    <t>DNSSEC / Route 53 DNS Firewall / Azure DNS security</t>
  </si>
  <si>
    <t>DNSSEC config, DNS security settings</t>
  </si>
  <si>
    <t>SC-21</t>
  </si>
  <si>
    <t>Secure Name/Address Resolution Service (Recursive or Caching Resolver)</t>
  </si>
  <si>
    <t>Recursive DNS security / DNS resolver config</t>
  </si>
  <si>
    <t>DNS resolver config, DNSSEC validation, DNS filtering</t>
  </si>
  <si>
    <t>SC-22</t>
  </si>
  <si>
    <t>Architecture and Provisioning for Name/Address Resolution Service</t>
  </si>
  <si>
    <t>DNS architecture documentation</t>
  </si>
  <si>
    <t>DNS architecture diagram, authoritative/recursive separation</t>
  </si>
  <si>
    <t>SC-23</t>
  </si>
  <si>
    <t>Session Authenticity</t>
  </si>
  <si>
    <t>TLS session authenticity / certificate pinning</t>
  </si>
  <si>
    <t>Session authenticity config, cert validation evidence</t>
  </si>
  <si>
    <t>SC-24</t>
  </si>
  <si>
    <t>Fail in Known State</t>
  </si>
  <si>
    <t>Fail in known state / circuit breakers</t>
  </si>
  <si>
    <t>SC Policy; BCP Policy</t>
  </si>
  <si>
    <t>Fail-secure config, error handling design doc</t>
  </si>
  <si>
    <t>SC-25</t>
  </si>
  <si>
    <t>Thin Nodes</t>
  </si>
  <si>
    <t>Thin nodes / diskless nodes</t>
  </si>
  <si>
    <t>Thin client config, diskless node policy</t>
  </si>
  <si>
    <t>SC-26</t>
  </si>
  <si>
    <t>Decoys</t>
  </si>
  <si>
    <t>Honeypots / decoy systems (deception technology)</t>
  </si>
  <si>
    <t>Network Security Policy; Threat Intelligence Policy</t>
  </si>
  <si>
    <t>Deception technology config, honeypot deployment</t>
  </si>
  <si>
    <t>SC-27</t>
  </si>
  <si>
    <t>Platform-independent Applications</t>
  </si>
  <si>
    <t>Platform-independent applications</t>
  </si>
  <si>
    <t>Platform independence design, cross-platform test results</t>
  </si>
  <si>
    <t>SC-28</t>
  </si>
  <si>
    <t>Protection of Information at Rest</t>
  </si>
  <si>
    <t>S3 SSE-KMS / EBS encryption / Azure Storage encryption</t>
  </si>
  <si>
    <t>Encryption Policy; Data Classification Policy</t>
  </si>
  <si>
    <t>Encryption-at-rest config, storage encryption policy</t>
  </si>
  <si>
    <t>SC-29</t>
  </si>
  <si>
    <t>Heterogeneity</t>
  </si>
  <si>
    <t>Heterogeneous IT / technology diversity</t>
  </si>
  <si>
    <t>Technology diversity policy, single-vendor risk assessment</t>
  </si>
  <si>
    <t>SC-30</t>
  </si>
  <si>
    <t>Concealment and Misdirection</t>
  </si>
  <si>
    <t>Concealment and misdirection / deception strategies</t>
  </si>
  <si>
    <t>Deception strategy doc, obfuscation config</t>
  </si>
  <si>
    <t>SC-31</t>
  </si>
  <si>
    <t>Covert Channel Analysis</t>
  </si>
  <si>
    <t>Covert channel analysis</t>
  </si>
  <si>
    <t>Covert channel analysis report, bandwidth limitation config</t>
  </si>
  <si>
    <t>SC-32</t>
  </si>
  <si>
    <t>System Partitioning</t>
  </si>
  <si>
    <t>System partitioning (security domains)</t>
  </si>
  <si>
    <t>Partitioning design, domain isolation evidence</t>
  </si>
  <si>
    <t>SC-33</t>
  </si>
  <si>
    <t>Transmission Preparation Integrity</t>
  </si>
  <si>
    <t>SC-34</t>
  </si>
  <si>
    <t>Non-modifiable Executable Programs</t>
  </si>
  <si>
    <t>Non-modifiable executable programs (ROM/BIOS)</t>
  </si>
  <si>
    <t>Non-modifiable firmware config, Secure Boot evidence</t>
  </si>
  <si>
    <t>SC-35</t>
  </si>
  <si>
    <t>External Malicious Code Identification</t>
  </si>
  <si>
    <t>External malicious code identification</t>
  </si>
  <si>
    <t>SC Policy; Endpoint Security Policy</t>
  </si>
  <si>
    <t>External code scanning tools config</t>
  </si>
  <si>
    <t>SC-36</t>
  </si>
  <si>
    <t>Distributed Processing and Storage</t>
  </si>
  <si>
    <t>Distributed processing / multi-region</t>
  </si>
  <si>
    <t>Distributed processing architecture, geographic distribution</t>
  </si>
  <si>
    <t>SC-37</t>
  </si>
  <si>
    <t>Out-of-band Channels</t>
  </si>
  <si>
    <t>Out-of-band channels for key material delivery</t>
  </si>
  <si>
    <t>Key Management Policy</t>
  </si>
  <si>
    <t>Out-of-band channel config, key delivery procedures</t>
  </si>
  <si>
    <t>SC-38</t>
  </si>
  <si>
    <t>Operations Security</t>
  </si>
  <si>
    <t>Operations security (OPSEC)</t>
  </si>
  <si>
    <t>OPSEC plan, sensitive info protection procedures</t>
  </si>
  <si>
    <t>SC-39</t>
  </si>
  <si>
    <t>Process Isolation</t>
  </si>
  <si>
    <t>Process isolation (containers / VMs / hypervisor)</t>
  </si>
  <si>
    <t>Container isolation config, VM separation, hypervisor controls</t>
  </si>
  <si>
    <t>SC-40</t>
  </si>
  <si>
    <t>Wireless Link Protection</t>
  </si>
  <si>
    <t>Wireless link protection</t>
  </si>
  <si>
    <t>Wireless encryption config, WPA3 settings</t>
  </si>
  <si>
    <t>SC-41</t>
  </si>
  <si>
    <t>Port and I/O Device Access</t>
  </si>
  <si>
    <t>Port and I/O device access controls</t>
  </si>
  <si>
    <t>USB/port block policy, I/O device controls</t>
  </si>
  <si>
    <t>SC-42</t>
  </si>
  <si>
    <t>Sensor Capability and Data</t>
  </si>
  <si>
    <t>Sensor capability and data (IoT/cameras)</t>
  </si>
  <si>
    <t>SC Policy; Privacy Policy</t>
  </si>
  <si>
    <t>Sensor policy, data collection notice, deactivation procedures</t>
  </si>
  <si>
    <t>SC-43</t>
  </si>
  <si>
    <t>Usage Restrictions</t>
  </si>
  <si>
    <t>Usage restrictions on external systems</t>
  </si>
  <si>
    <t>External system usage policy, approved external services list</t>
  </si>
  <si>
    <t>SC-44</t>
  </si>
  <si>
    <t>Detonation Chambers</t>
  </si>
  <si>
    <t>Detonation chambers / sandboxing for files</t>
  </si>
  <si>
    <t>Sandbox config, detonation chamber tool, malware analysis</t>
  </si>
  <si>
    <t>SC-45</t>
  </si>
  <si>
    <t>System Time Synchronization</t>
  </si>
  <si>
    <t>System time synchronization (NTP/PTP)</t>
  </si>
  <si>
    <t>NTP config, time sync policy, time server source</t>
  </si>
  <si>
    <t>SC-46</t>
  </si>
  <si>
    <t>Cross Domain Policy Enforcement</t>
  </si>
  <si>
    <t>Cross domain policy filter</t>
  </si>
  <si>
    <t>Cross-domain solution config, data guard settings</t>
  </si>
  <si>
    <t>SC-47</t>
  </si>
  <si>
    <t>Alternate Communications Paths</t>
  </si>
  <si>
    <t>Alternate communications paths</t>
  </si>
  <si>
    <t>Alternate comms config, redundant path evidence</t>
  </si>
  <si>
    <t>SC-48</t>
  </si>
  <si>
    <t>Sensor Relocation</t>
  </si>
  <si>
    <t>Sensor relocation</t>
  </si>
  <si>
    <t>Sensor relocation policy, physical sensor management</t>
  </si>
  <si>
    <t>SC-49</t>
  </si>
  <si>
    <t>Hardware-enforced Separation and Policy Enforcement</t>
  </si>
  <si>
    <t>Hardware-enforced separation (TPM/HSM)</t>
  </si>
  <si>
    <t>Hardware isolation config, TPM/HSM usage evidence</t>
  </si>
  <si>
    <t>SC-50</t>
  </si>
  <si>
    <t>Software-enforced Separation and Policy Enforcement</t>
  </si>
  <si>
    <t>Software-enforced separation</t>
  </si>
  <si>
    <t>Software isolation evidence, containerization config</t>
  </si>
  <si>
    <t>SC-51</t>
  </si>
  <si>
    <t>Hardware-based Protection</t>
  </si>
  <si>
    <t>Hardware-based protection (HSM/TPM)</t>
  </si>
  <si>
    <t>HSM config, TPM enrollment, hardware security evidence</t>
  </si>
  <si>
    <t>SI - System and Information Integrity</t>
  </si>
  <si>
    <t>SI-1</t>
  </si>
  <si>
    <t>Org-wide system &amp; information integrity policy</t>
  </si>
  <si>
    <t>System &amp; Information Integrity Policy</t>
  </si>
  <si>
    <t>SI policy doc, version history</t>
  </si>
  <si>
    <t>SI-2</t>
  </si>
  <si>
    <t>Flaw Remediation</t>
  </si>
  <si>
    <t>AWS Systems Manager Patch Manager / Azure Update Manager</t>
  </si>
  <si>
    <t>Patch Management Policy</t>
  </si>
  <si>
    <t>Patch compliance report, patching schedule</t>
  </si>
  <si>
    <t>SI-3</t>
  </si>
  <si>
    <t>Malicious Code Protection</t>
  </si>
  <si>
    <t>Amazon GuardDuty + CrowdStrike / Microsoft Defender for Endpoint</t>
  </si>
  <si>
    <t>Endpoint Security Policy; Malware Protection Policy</t>
  </si>
  <si>
    <t>EDR/AV deployment report, scan results, definition updates</t>
  </si>
  <si>
    <t>SI-4</t>
  </si>
  <si>
    <t>System Monitoring</t>
  </si>
  <si>
    <t>CloudWatch + GuardDuty / Microsoft Sentinel + Defender</t>
  </si>
  <si>
    <t>Monitoring &amp; SIEM Policy</t>
  </si>
  <si>
    <t>Monitoring dashboard, alert config, IDS/IPS evidence</t>
  </si>
  <si>
    <t>SI-5</t>
  </si>
  <si>
    <t>Security Alerts, Advisories, and Directives</t>
  </si>
  <si>
    <t>AWS Security Advisories / Microsoft Security Response Center</t>
  </si>
  <si>
    <t>Patch Management Policy; Vulnerability Management Policy</t>
  </si>
  <si>
    <t>Threat intel subscription, security alert process</t>
  </si>
  <si>
    <t>SI-6</t>
  </si>
  <si>
    <t>Security and Privacy Function Verification</t>
  </si>
  <si>
    <t>AWS Config rules for security function verification</t>
  </si>
  <si>
    <t>Security function test plan, verification results</t>
  </si>
  <si>
    <t>SI-7</t>
  </si>
  <si>
    <t>Software, Firmware, and Information Integrity</t>
  </si>
  <si>
    <t>CodePipeline integrity checks / Azure DevOps gates + signing</t>
  </si>
  <si>
    <t>Change Management Policy; Secure Development Policy</t>
  </si>
  <si>
    <t>Code signing config, integrity check results</t>
  </si>
  <si>
    <t>SI-8</t>
  </si>
  <si>
    <t>Spam Protection</t>
  </si>
  <si>
    <t>AWS WorkMail anti-spam / Microsoft Defender for Office 365</t>
  </si>
  <si>
    <t>Endpoint Security Policy; Email Security Policy</t>
  </si>
  <si>
    <t>Spam filter config, email security gateway settings</t>
  </si>
  <si>
    <t>SI-9</t>
  </si>
  <si>
    <t>Information Input Restrictions</t>
  </si>
  <si>
    <t>Input restriction controls</t>
  </si>
  <si>
    <t>Input restriction policy, validation controls evidence</t>
  </si>
  <si>
    <t>SI-10</t>
  </si>
  <si>
    <t>Information Input Validation</t>
  </si>
  <si>
    <t>AWS WAF input validation / Azure WAF on App Gateway</t>
  </si>
  <si>
    <t>Secure Development Policy; Network Security Policy</t>
  </si>
  <si>
    <t>WAF rule config, DAST scan results, input validation</t>
  </si>
  <si>
    <t>SI-11</t>
  </si>
  <si>
    <t>Error Handling</t>
  </si>
  <si>
    <t>Structured error handling in application code</t>
  </si>
  <si>
    <t>Error handling design doc, SAST results, stack trace suppression</t>
  </si>
  <si>
    <t>📁  Evidence Register  —  Add one row per piece of evidence you need to collect.  Fill in Control ID, Evidence Type, who you're requesting it from, and track status as it arrives.</t>
  </si>
  <si>
    <t>Request ID</t>
  </si>
  <si>
    <t>Requested From</t>
  </si>
  <si>
    <t>Status</t>
  </si>
  <si>
    <t>Due Date</t>
  </si>
  <si>
    <t>Evidence Link / Path</t>
  </si>
  <si>
    <t>Notes</t>
  </si>
  <si>
    <t>EVR-0001</t>
  </si>
  <si>
    <t>Requested</t>
  </si>
  <si>
    <t>2026-03-08</t>
  </si>
  <si>
    <t>Risk: High</t>
  </si>
  <si>
    <t>EVR-0002</t>
  </si>
  <si>
    <t>EVR-0003</t>
  </si>
  <si>
    <t>EVR-0004</t>
  </si>
  <si>
    <t>EVR-0005</t>
  </si>
  <si>
    <t>EVR-0006</t>
  </si>
  <si>
    <t>EVR-0007</t>
  </si>
  <si>
    <t>Risk: Med</t>
  </si>
  <si>
    <t>EVR-0008</t>
  </si>
  <si>
    <t>Risk: Low</t>
  </si>
  <si>
    <t>EVR-0009</t>
  </si>
  <si>
    <t>EVR-0010</t>
  </si>
  <si>
    <t>EVR-0011</t>
  </si>
  <si>
    <t>EVR-0012</t>
  </si>
  <si>
    <t>EVR-0013</t>
  </si>
  <si>
    <t>EVR-0014</t>
  </si>
  <si>
    <t>EVR-0015</t>
  </si>
  <si>
    <t>EVR-0016</t>
  </si>
  <si>
    <t>EVR-0017</t>
  </si>
  <si>
    <t>EVR-0018</t>
  </si>
  <si>
    <t>EVR-0019</t>
  </si>
  <si>
    <t>EVR-0020</t>
  </si>
  <si>
    <t>EVR-0021</t>
  </si>
  <si>
    <t>EVR-0022</t>
  </si>
  <si>
    <t>EVR-0023</t>
  </si>
  <si>
    <t>EVR-0024</t>
  </si>
  <si>
    <t>EVR-0025</t>
  </si>
  <si>
    <t>EVR-0026</t>
  </si>
  <si>
    <t>EVR-0027</t>
  </si>
  <si>
    <t>EVR-0028</t>
  </si>
  <si>
    <t>EVR-0029</t>
  </si>
  <si>
    <t>EVR-0030</t>
  </si>
  <si>
    <t>EVR-0031</t>
  </si>
  <si>
    <t>EVR-0032</t>
  </si>
  <si>
    <t>EVR-0033</t>
  </si>
  <si>
    <t>EVR-0034</t>
  </si>
  <si>
    <t>EVR-0035</t>
  </si>
  <si>
    <t>EVR-0036</t>
  </si>
  <si>
    <t>EVR-0037</t>
  </si>
  <si>
    <t>EVR-0038</t>
  </si>
  <si>
    <t>EVR-0039</t>
  </si>
  <si>
    <t>EVR-0040</t>
  </si>
  <si>
    <t>EVR-0041</t>
  </si>
  <si>
    <t>EVR-0042</t>
  </si>
  <si>
    <t>EVR-0043</t>
  </si>
  <si>
    <t>EVR-0044</t>
  </si>
  <si>
    <t>EVR-0045</t>
  </si>
  <si>
    <t>EVR-0046</t>
  </si>
  <si>
    <t>EVR-0047</t>
  </si>
  <si>
    <t>EVR-0048</t>
  </si>
  <si>
    <t>EVR-0049</t>
  </si>
  <si>
    <t>EVR-0050</t>
  </si>
  <si>
    <t>EVR-0051</t>
  </si>
  <si>
    <t>EVR-0052</t>
  </si>
  <si>
    <t>EVR-0053</t>
  </si>
  <si>
    <t>EVR-0054</t>
  </si>
  <si>
    <t>EVR-0055</t>
  </si>
  <si>
    <t>EVR-0056</t>
  </si>
  <si>
    <t>EVR-0057</t>
  </si>
  <si>
    <t>EVR-0058</t>
  </si>
  <si>
    <t>EVR-0059</t>
  </si>
  <si>
    <t>EVR-0060</t>
  </si>
  <si>
    <t>EVR-0061</t>
  </si>
  <si>
    <t>EVR-0062</t>
  </si>
  <si>
    <t>EVR-0063</t>
  </si>
  <si>
    <t>EVR-0064</t>
  </si>
  <si>
    <t>EVR-0065</t>
  </si>
  <si>
    <t>EVR-0066</t>
  </si>
  <si>
    <t>EVR-0067</t>
  </si>
  <si>
    <t>EVR-0068</t>
  </si>
  <si>
    <t>EVR-0069</t>
  </si>
  <si>
    <t>EVR-0070</t>
  </si>
  <si>
    <t>EVR-0071</t>
  </si>
  <si>
    <t>EVR-0072</t>
  </si>
  <si>
    <t>EVR-0073</t>
  </si>
  <si>
    <t>EVR-0074</t>
  </si>
  <si>
    <t>EVR-0075</t>
  </si>
  <si>
    <t>EVR-0076</t>
  </si>
  <si>
    <t>EVR-0077</t>
  </si>
  <si>
    <t>EVR-0078</t>
  </si>
  <si>
    <t>EVR-0079</t>
  </si>
  <si>
    <t>EVR-0080</t>
  </si>
  <si>
    <t>EVR-0081</t>
  </si>
  <si>
    <t>EVR-0082</t>
  </si>
  <si>
    <t>EVR-0083</t>
  </si>
  <si>
    <t>EVR-0084</t>
  </si>
  <si>
    <t>EVR-0085</t>
  </si>
  <si>
    <t>Risk: Critical</t>
  </si>
  <si>
    <t>EVR-0086</t>
  </si>
  <si>
    <t>EVR-0087</t>
  </si>
  <si>
    <t>EVR-0088</t>
  </si>
  <si>
    <t>EVR-0089</t>
  </si>
  <si>
    <t>EVR-0090</t>
  </si>
  <si>
    <t>EVR-0091</t>
  </si>
  <si>
    <t>EVR-0092</t>
  </si>
  <si>
    <t>EVR-0093</t>
  </si>
  <si>
    <t>EVR-0094</t>
  </si>
  <si>
    <t>EVR-0095</t>
  </si>
  <si>
    <t>EVR-0096</t>
  </si>
  <si>
    <t>EVR-0097</t>
  </si>
  <si>
    <t>EVR-0098</t>
  </si>
  <si>
    <t>EVR-0099</t>
  </si>
  <si>
    <t>EVR-0100</t>
  </si>
  <si>
    <t>EVR-0101</t>
  </si>
  <si>
    <t>EVR-0102</t>
  </si>
  <si>
    <t>EVR-0103</t>
  </si>
  <si>
    <t>EVR-0104</t>
  </si>
  <si>
    <t>EVR-0105</t>
  </si>
  <si>
    <t>EVR-0106</t>
  </si>
  <si>
    <t>EVR-0107</t>
  </si>
  <si>
    <t>EVR-0108</t>
  </si>
  <si>
    <t>EVR-0109</t>
  </si>
  <si>
    <t>EVR-0110</t>
  </si>
  <si>
    <t>EVR-0111</t>
  </si>
  <si>
    <t>EVR-0112</t>
  </si>
  <si>
    <t>EVR-0113</t>
  </si>
  <si>
    <t>EVR-0114</t>
  </si>
  <si>
    <t>EVR-0115</t>
  </si>
  <si>
    <t>EVR-0116</t>
  </si>
  <si>
    <t>EVR-0117</t>
  </si>
  <si>
    <t>EVR-0118</t>
  </si>
  <si>
    <t>EVR-0119</t>
  </si>
  <si>
    <t>EVR-0120</t>
  </si>
  <si>
    <t>EVR-0121</t>
  </si>
  <si>
    <t>EVR-0122</t>
  </si>
  <si>
    <t>EVR-0123</t>
  </si>
  <si>
    <t>EVR-0124</t>
  </si>
  <si>
    <t>EVR-0125</t>
  </si>
  <si>
    <t>EVR-0126</t>
  </si>
  <si>
    <t>EVR-0127</t>
  </si>
  <si>
    <t>EVR-0128</t>
  </si>
  <si>
    <t>EVR-0129</t>
  </si>
  <si>
    <t>EVR-0130</t>
  </si>
  <si>
    <t>EVR-0131</t>
  </si>
  <si>
    <t>EVR-0132</t>
  </si>
  <si>
    <t>EVR-0133</t>
  </si>
  <si>
    <t>EVR-0134</t>
  </si>
  <si>
    <t>EVR-0135</t>
  </si>
  <si>
    <t>EVR-0136</t>
  </si>
  <si>
    <t>EVR-0137</t>
  </si>
  <si>
    <t>EVR-0138</t>
  </si>
  <si>
    <t>EVR-0139</t>
  </si>
  <si>
    <t>EVR-0140</t>
  </si>
  <si>
    <t>EVR-0141</t>
  </si>
  <si>
    <t>EVR-0142</t>
  </si>
  <si>
    <t>EVR-0143</t>
  </si>
  <si>
    <t>EVR-0144</t>
  </si>
  <si>
    <t>EVR-0145</t>
  </si>
  <si>
    <t>EVR-0146</t>
  </si>
  <si>
    <t>EVR-0147</t>
  </si>
  <si>
    <t>EVR-0148</t>
  </si>
  <si>
    <t>EVR-0149</t>
  </si>
  <si>
    <t>EVR-0150</t>
  </si>
  <si>
    <t>EVR-0151</t>
  </si>
  <si>
    <t>EVR-0152</t>
  </si>
  <si>
    <t>EVR-0153</t>
  </si>
  <si>
    <t>EVR-0154</t>
  </si>
  <si>
    <t>EVR-0155</t>
  </si>
  <si>
    <t>EVR-0156</t>
  </si>
  <si>
    <t>EVR-0157</t>
  </si>
  <si>
    <t>EVR-0158</t>
  </si>
  <si>
    <t>EVR-0159</t>
  </si>
  <si>
    <t>EVR-0160</t>
  </si>
  <si>
    <t>EVR-0161</t>
  </si>
  <si>
    <t>EVR-0162</t>
  </si>
  <si>
    <t>EVR-0163</t>
  </si>
  <si>
    <t>EVR-0164</t>
  </si>
  <si>
    <t>EVR-0165</t>
  </si>
  <si>
    <t>EVR-0166</t>
  </si>
  <si>
    <t>EVR-0167</t>
  </si>
  <si>
    <t>EVR-0168</t>
  </si>
  <si>
    <t>EVR-0169</t>
  </si>
  <si>
    <t>EVR-0170</t>
  </si>
  <si>
    <t>EVR-0171</t>
  </si>
  <si>
    <t>EVR-0172</t>
  </si>
  <si>
    <t>EVR-0173</t>
  </si>
  <si>
    <t>EVR-0174</t>
  </si>
  <si>
    <t>EVR-0175</t>
  </si>
  <si>
    <t>EVR-0176</t>
  </si>
  <si>
    <t>EVR-0177</t>
  </si>
  <si>
    <t>EVR-0178</t>
  </si>
  <si>
    <t>EVR-0179</t>
  </si>
  <si>
    <t>EVR-0180</t>
  </si>
  <si>
    <t>EVR-0181</t>
  </si>
  <si>
    <t>EVR-0182</t>
  </si>
  <si>
    <t>EVR-0183</t>
  </si>
  <si>
    <t>EVR-0184</t>
  </si>
  <si>
    <t>EVR-0185</t>
  </si>
  <si>
    <t>EVR-0186</t>
  </si>
  <si>
    <t>EVR-0187</t>
  </si>
  <si>
    <t>EVR-0188</t>
  </si>
  <si>
    <t>EVR-0189</t>
  </si>
  <si>
    <t>EVR-0190</t>
  </si>
  <si>
    <t>EVR-0191</t>
  </si>
  <si>
    <t>EVR-0192</t>
  </si>
  <si>
    <t>EVR-0193</t>
  </si>
  <si>
    <t>EVR-0194</t>
  </si>
  <si>
    <t>EVR-0195</t>
  </si>
  <si>
    <t>EVR-0196</t>
  </si>
  <si>
    <t>EVR-0197</t>
  </si>
  <si>
    <t>EVR-0198</t>
  </si>
  <si>
    <t>EVR-0199</t>
  </si>
  <si>
    <t>EVR-0200</t>
  </si>
  <si>
    <t>EVR-0201</t>
  </si>
  <si>
    <t>EVR-0202</t>
  </si>
  <si>
    <t>EVR-0203</t>
  </si>
  <si>
    <t>EVR-0204</t>
  </si>
  <si>
    <t>EVR-0205</t>
  </si>
  <si>
    <t>EVR-0206</t>
  </si>
  <si>
    <t>EVR-0207</t>
  </si>
  <si>
    <t>EVR-0208</t>
  </si>
  <si>
    <t>EVR-0209</t>
  </si>
  <si>
    <t>EVR-0210</t>
  </si>
  <si>
    <t>EVR-0211</t>
  </si>
  <si>
    <t>EVR-0212</t>
  </si>
  <si>
    <t>EVR-0213</t>
  </si>
  <si>
    <t>EVR-0214</t>
  </si>
  <si>
    <t>EVR-0215</t>
  </si>
  <si>
    <t>EVR-0216</t>
  </si>
  <si>
    <t>EVR-0217</t>
  </si>
  <si>
    <t>EVR-0218</t>
  </si>
  <si>
    <t>EVR-0219</t>
  </si>
  <si>
    <t>EVR-0220</t>
  </si>
  <si>
    <t>EVR-0221</t>
  </si>
  <si>
    <t>EVR-0222</t>
  </si>
  <si>
    <t>EVR-0223</t>
  </si>
  <si>
    <t>EVR-0224</t>
  </si>
  <si>
    <t>EVR-0225</t>
  </si>
  <si>
    <t>EVR-0226</t>
  </si>
  <si>
    <t>EVR-0227</t>
  </si>
  <si>
    <t>EVR-0228</t>
  </si>
  <si>
    <t>EVR-0229</t>
  </si>
  <si>
    <t>EVR-0230</t>
  </si>
  <si>
    <t>EVR-0231</t>
  </si>
  <si>
    <t>EVR-0232</t>
  </si>
  <si>
    <t>EVR-0233</t>
  </si>
  <si>
    <t>EVR-0234</t>
  </si>
  <si>
    <t>EVR-0235</t>
  </si>
  <si>
    <t>EVR-0236</t>
  </si>
  <si>
    <t>EVR-0237</t>
  </si>
  <si>
    <t>EVR-0238</t>
  </si>
  <si>
    <t>EVR-0239</t>
  </si>
  <si>
    <t>EVR-0240</t>
  </si>
  <si>
    <t>EVR-0241</t>
  </si>
  <si>
    <t>EVR-0242</t>
  </si>
  <si>
    <t>EVR-0243</t>
  </si>
  <si>
    <t>EVR-0244</t>
  </si>
  <si>
    <t>EVR-0245</t>
  </si>
  <si>
    <t>EVR-0246</t>
  </si>
  <si>
    <t>EVR-0247</t>
  </si>
  <si>
    <t>EVR-0248</t>
  </si>
  <si>
    <t>EVR-0249</t>
  </si>
  <si>
    <t>EVR-0250</t>
  </si>
  <si>
    <t>EVR-0251</t>
  </si>
  <si>
    <t>EVR-0252</t>
  </si>
  <si>
    <t>EVR-0253</t>
  </si>
  <si>
    <t>EVR-0254</t>
  </si>
  <si>
    <t>EVR-0255</t>
  </si>
  <si>
    <t>EVR-0256</t>
  </si>
  <si>
    <t>EVR-0257</t>
  </si>
  <si>
    <t>EVR-0258</t>
  </si>
  <si>
    <t>EVR-0259</t>
  </si>
  <si>
    <t>EVR-0260</t>
  </si>
  <si>
    <t>EVR-0261</t>
  </si>
  <si>
    <t>EVR-0262</t>
  </si>
  <si>
    <t>EVR-0263</t>
  </si>
  <si>
    <t>EVR-0264</t>
  </si>
  <si>
    <t>EVR-0265</t>
  </si>
  <si>
    <t>EVR-0266</t>
  </si>
  <si>
    <t>EVR-0267</t>
  </si>
  <si>
    <t>EVR-0268</t>
  </si>
  <si>
    <t>EVR-0269</t>
  </si>
  <si>
    <t>EVR-0270</t>
  </si>
  <si>
    <t>EVR-0271</t>
  </si>
  <si>
    <t>EVR-0272</t>
  </si>
  <si>
    <t>EVR-0273</t>
  </si>
  <si>
    <t>EVR-0274</t>
  </si>
  <si>
    <t>EVR-0275</t>
  </si>
  <si>
    <t>EVR-0276</t>
  </si>
  <si>
    <t>EVR-0277</t>
  </si>
  <si>
    <t>EVR-0278</t>
  </si>
  <si>
    <t>EVR-0279</t>
  </si>
  <si>
    <t>EVR-0280</t>
  </si>
  <si>
    <t>EVR-0281</t>
  </si>
  <si>
    <t>EVR-0282</t>
  </si>
  <si>
    <t>EVR-0283</t>
  </si>
  <si>
    <t>EVR-0284</t>
  </si>
  <si>
    <t>EVR-0285</t>
  </si>
  <si>
    <t>EVR-0286</t>
  </si>
  <si>
    <t>EVR-0287</t>
  </si>
  <si>
    <t>EVR-0288</t>
  </si>
  <si>
    <t>EVR-0289</t>
  </si>
  <si>
    <t>EVR-0290</t>
  </si>
  <si>
    <t>EVR-0291</t>
  </si>
  <si>
    <t>EVR-0292</t>
  </si>
  <si>
    <t>EVR-0293</t>
  </si>
  <si>
    <t>EVR-0294</t>
  </si>
  <si>
    <t>EVR-0295</t>
  </si>
  <si>
    <t>EVR-0296</t>
  </si>
  <si>
    <t>EVR-0297</t>
  </si>
  <si>
    <t>EVR-0298</t>
  </si>
  <si>
    <t>EVR-0299</t>
  </si>
  <si>
    <t>EVR-0300</t>
  </si>
  <si>
    <t>📊  Audit Readiness Dashboard  —  Updates automatically as you fill in the Controls tab</t>
  </si>
  <si>
    <t>Evidence Received %</t>
  </si>
  <si>
    <t>📈  Implementation Status Breakdown</t>
  </si>
  <si>
    <t>📂  Control Family Breakdown  (auto-calculated)</t>
  </si>
  <si>
    <t>Count</t>
  </si>
  <si>
    <t>% of Total</t>
  </si>
  <si>
    <t>Family</t>
  </si>
  <si>
    <t>Code</t>
  </si>
  <si>
    <t>Total</t>
  </si>
  <si>
    <t>Complete %</t>
  </si>
  <si>
    <t>Evidence Rcvd</t>
  </si>
  <si>
    <t>AC</t>
  </si>
  <si>
    <t>Planned</t>
  </si>
  <si>
    <t>AT</t>
  </si>
  <si>
    <t>Partial</t>
  </si>
  <si>
    <t>AU</t>
  </si>
  <si>
    <t>CA</t>
  </si>
  <si>
    <t>CM</t>
  </si>
  <si>
    <t>⚠️  Risk Level Distribution</t>
  </si>
  <si>
    <t>CP</t>
  </si>
  <si>
    <t>Open (not Implemented)</t>
  </si>
  <si>
    <t>IA</t>
  </si>
  <si>
    <t>IR</t>
  </si>
  <si>
    <t>MA</t>
  </si>
  <si>
    <t>MP</t>
  </si>
  <si>
    <t>PE</t>
  </si>
  <si>
    <t>PL</t>
  </si>
  <si>
    <t>📋  Evidence Status Summary</t>
  </si>
  <si>
    <t>PM</t>
  </si>
  <si>
    <t>PS</t>
  </si>
  <si>
    <t>PT</t>
  </si>
  <si>
    <t>In Review</t>
  </si>
  <si>
    <t>RA</t>
  </si>
  <si>
    <t>Received</t>
  </si>
  <si>
    <t>SA</t>
  </si>
  <si>
    <t>Accepted</t>
  </si>
  <si>
    <t>SC</t>
  </si>
  <si>
    <t>Rejected</t>
  </si>
  <si>
    <t>SI</t>
  </si>
  <si>
    <t>📜  Policy Library  —  Use this as a reference when filling in the 'Policy Where This Lives' column in the Controls tab.</t>
  </si>
  <si>
    <t>Policy Name</t>
  </si>
  <si>
    <t>Typical Document Section</t>
  </si>
  <si>
    <t>Related Control Families</t>
  </si>
  <si>
    <t>Policy Owner (Typical)</t>
  </si>
  <si>
    <t>Review Frequency</t>
  </si>
  <si>
    <t>Information Security Policy</t>
  </si>
  <si>
    <t>Section 1 – Policy Statement, Scope, Roles</t>
  </si>
  <si>
    <t>All Families</t>
  </si>
  <si>
    <t>CISO / VP Security</t>
  </si>
  <si>
    <t>Annual</t>
  </si>
  <si>
    <t>Section 2 – User Access, Least Privilege, Remote, Wireless</t>
  </si>
  <si>
    <t>IAM / IT Security</t>
  </si>
  <si>
    <t>Section 3 – MFA, Authentication Standards</t>
  </si>
  <si>
    <t>Section 4 – Password Complexity, Rotation, Secrets Mgmt</t>
  </si>
  <si>
    <t>Section 5 – VPN, MFA, Remote Work Controls</t>
  </si>
  <si>
    <t>Network Security / IT</t>
  </si>
  <si>
    <t>Wireless Access Policy</t>
  </si>
  <si>
    <t>Section 6 – Wireless Security, WPA3, 802.1X</t>
  </si>
  <si>
    <t>Network Security</t>
  </si>
  <si>
    <t>Section 7 – MDM Requirements, BYOD, Device Compliance</t>
  </si>
  <si>
    <t>IT / CISO</t>
  </si>
  <si>
    <t>Section 8 – Audit Logging, Retention, SIEM</t>
  </si>
  <si>
    <t>Security Operations</t>
  </si>
  <si>
    <t>Section 9 – SIEM Alerting, SOC Procedures, Escalation</t>
  </si>
  <si>
    <t>AU, IR, SI</t>
  </si>
  <si>
    <t>SOC / Security Ops</t>
  </si>
  <si>
    <t>Section 10 – Data Retention Schedules, Legal Hold</t>
  </si>
  <si>
    <t>AU, MP</t>
  </si>
  <si>
    <t>Legal / Compliance</t>
  </si>
  <si>
    <t>Section 11 – Baseline Configs, Approved Deviations</t>
  </si>
  <si>
    <t>IT / DevOps</t>
  </si>
  <si>
    <t>Hardening Policy</t>
  </si>
  <si>
    <t>Section 12 – CIS Benchmarks, OS/App Hardening Standards</t>
  </si>
  <si>
    <t>IT / DevSecOps</t>
  </si>
  <si>
    <t>Section 13 – Asset Inventory, CMDB, Lifecycle</t>
  </si>
  <si>
    <t>IT Asset Management</t>
  </si>
  <si>
    <t>Section 14 – BCP, DRP, RTO/RPO Targets</t>
  </si>
  <si>
    <t>BCP Coordinator / CISO</t>
  </si>
  <si>
    <t>Section 15 – Backup Schedule, Offsite, Test Restore</t>
  </si>
  <si>
    <t>IT Operations</t>
  </si>
  <si>
    <t>Section 16 – Classification Tiers, Handling Rules, Labels</t>
  </si>
  <si>
    <t>MP, SC, RA</t>
  </si>
  <si>
    <t>Data Governance / CISO</t>
  </si>
  <si>
    <t>Section 17 – Media Handling, Transport, Sanitization</t>
  </si>
  <si>
    <t>IT / Compliance</t>
  </si>
  <si>
    <t>Section 18 – Facility Access, Environmental Controls, Visitors</t>
  </si>
  <si>
    <t>Facilities / IT</t>
  </si>
  <si>
    <t>Full System Description, Control Implementations, Boundaries</t>
  </si>
  <si>
    <t>ISSO / CISO</t>
  </si>
  <si>
    <t>Annual or upon major change</t>
  </si>
  <si>
    <t>Section 19 – ATO Process, Authorization Boundaries, CA</t>
  </si>
  <si>
    <t>CA, PM</t>
  </si>
  <si>
    <t>CISO / Compliance</t>
  </si>
  <si>
    <t>Section 20 – Risk Assessment, Risk Register, Risk Tolerance</t>
  </si>
  <si>
    <t>RA, PM</t>
  </si>
  <si>
    <t>Risk Officer / CISO</t>
  </si>
  <si>
    <t>Section 21 – Scanning Cadence, CVSS Thresholds, Remediation SLAs</t>
  </si>
  <si>
    <t>RA, SI</t>
  </si>
  <si>
    <t>Security Engineering</t>
  </si>
  <si>
    <t>Section 22 – Network Architecture, Firewalls, Segmentation, DMZ</t>
  </si>
  <si>
    <t>Section 23 – Algorithms, Key Length, Encryption at Rest &amp; In Transit</t>
  </si>
  <si>
    <t>Section 24 – Key Lifecycle, HSM Usage, Key Rotation</t>
  </si>
  <si>
    <t>Section 25 – Patching Schedule, Critical Patch SLAs, Testing</t>
  </si>
  <si>
    <t>Quarterly or as needed</t>
  </si>
  <si>
    <t>Section 26 – EDR/AV Requirements, Device Hardening, Compliance</t>
  </si>
  <si>
    <t>SI, SC</t>
  </si>
  <si>
    <t>IT Security</t>
  </si>
  <si>
    <t>Section 27 – Change Control, CAB, Emergency Change Process</t>
  </si>
  <si>
    <t>CM, SI</t>
  </si>
  <si>
    <t>IT Change Manager</t>
  </si>
  <si>
    <t>Section 28 – Secure SDLC, SAST/DAST/SCA, Code Review</t>
  </si>
  <si>
    <t>SA, SI</t>
  </si>
  <si>
    <t>AppSec / DevSecOps</t>
  </si>
  <si>
    <t>Section 29 – Vendor Assessment, Security Clauses, Monitoring</t>
  </si>
  <si>
    <t>SA, SR, PM</t>
  </si>
  <si>
    <t>Procurement / Risk</t>
  </si>
  <si>
    <t>Section 30 – SBOM, Third-Party Risk, Component Authenticity</t>
  </si>
  <si>
    <t>SR, SA, PM</t>
  </si>
  <si>
    <t>Supply Chain Risk Officer</t>
  </si>
  <si>
    <t>Section 31 – Background Checks, Termination, Insider Threat</t>
  </si>
  <si>
    <t>HR / CISO</t>
  </si>
  <si>
    <t>HR Offboarding Policy</t>
  </si>
  <si>
    <t>Section 32 – Termination Checklist, Access Revocation Timeline</t>
  </si>
  <si>
    <t>PS, AC</t>
  </si>
  <si>
    <t>HR / IT</t>
  </si>
  <si>
    <t>Section 33 – IR Procedures, Escalation, Regulatory Reporting</t>
  </si>
  <si>
    <t>SOC / CISO</t>
  </si>
  <si>
    <t>Section 34 – Annual Training, Role-Based Training, Phishing Sims</t>
  </si>
  <si>
    <t>HR / Security</t>
  </si>
  <si>
    <t>Section 35 – Vendor Access Controls, ISA, Contractor Requirements</t>
  </si>
  <si>
    <t>AC, IA</t>
  </si>
  <si>
    <t>IAM / Procurement</t>
  </si>
  <si>
    <t>Section 36 – Scheduled Maintenance, Remote Maintenance Approval</t>
  </si>
  <si>
    <t>Section 37 – PII Handling, Consent, DSAR Process, Breach Notification</t>
  </si>
  <si>
    <t>PT, PM</t>
  </si>
  <si>
    <t>DPO / Legal</t>
  </si>
  <si>
    <t>Section 38 – Data Ownership, Quality, Stewardship, Lineage</t>
  </si>
  <si>
    <t>PM, PT</t>
  </si>
  <si>
    <t>Data Governance Lead</t>
  </si>
  <si>
    <t>Insider Threat Policy</t>
  </si>
  <si>
    <t>Section 39 – Behavioral Monitoring, Reporting, Investigations</t>
  </si>
  <si>
    <t>PS, PM</t>
  </si>
  <si>
    <t>Security / HR</t>
  </si>
  <si>
    <t>Section 40 – Authorized Use, Prohibited Activities, BYOD</t>
  </si>
  <si>
    <t>AC, PL</t>
  </si>
  <si>
    <t>IT / Legal / HR</t>
  </si>
  <si>
    <t>Section 41 – Program Scope, CISO Charter, Budget, Governance</t>
  </si>
  <si>
    <t>CISO</t>
  </si>
  <si>
    <t>Section 42 – Threat Intel Sources, Sharing, Integration with SOC</t>
  </si>
  <si>
    <t>SI, IR, PM</t>
  </si>
  <si>
    <t>Section 43 – Security in Procurement, SDLC, Vendor Vetting</t>
  </si>
  <si>
    <t>Procurement / IT</t>
  </si>
  <si>
    <t>SC Policy (Comms Protection)</t>
  </si>
  <si>
    <t>Section 44 – Boundary, Encryption, Network, DNS, Crypto</t>
  </si>
  <si>
    <t>Security Engineering / Network</t>
  </si>
  <si>
    <t>SI Policy (System Integrity)</t>
  </si>
  <si>
    <t>Section 45 – Patching, AV, Monitoring, Input Validation, Flaws</t>
  </si>
  <si>
    <t>Security Engineering / IT Ops</t>
  </si>
  <si>
    <t>Go to the  📋 Controls  tab. Use the  Environment  dropdown in Column E (Applicability) to filter controls for AWS, Azure, On-Prem, or Hybrid using Excel's built-in column filter (click the ▼ arrow on any column header).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</si>
</sst>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2"/>
      <color rgb="FFA9CCE3"/>
      <name val="Calibri"/>
      <charset val="1"/>
    </font>
    <font>
      <b/>
      <sz val="13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154360"/>
      <name val="Calibri"/>
      <charset val="1"/>
    </font>
    <font>
      <sz val="10"/>
      <color rgb="FF2C3E50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333333"/>
      <name val="Calibri"/>
      <charset val="1"/>
    </font>
    <font>
      <b/>
      <sz val="10"/>
      <color rgb="FF1E5631"/>
      <name val="Calibri"/>
      <charset val="1"/>
    </font>
    <font>
      <b/>
      <sz val="10"/>
      <color rgb="FF7B241C"/>
      <name val="Calibri"/>
      <charset val="1"/>
    </font>
    <font>
      <b/>
      <sz val="10"/>
      <color rgb="FF7D6608"/>
      <name val="Calibri"/>
      <charset val="1"/>
    </font>
    <font>
      <b/>
      <sz val="9"/>
      <color rgb="FFFFFFFF"/>
      <name val="Calibri"/>
      <charset val="1"/>
    </font>
    <font>
      <b/>
      <sz val="18"/>
      <color rgb="FF2980B9"/>
      <name val="Calibri"/>
      <charset val="1"/>
    </font>
    <font>
      <b/>
      <sz val="18"/>
      <color rgb="FF1E8449"/>
      <name val="Calibri"/>
      <charset val="1"/>
    </font>
    <font>
      <b/>
      <sz val="18"/>
      <color rgb="FF0E6655"/>
      <name val="Calibri"/>
      <charset val="1"/>
    </font>
    <font>
      <b/>
      <sz val="18"/>
      <color rgb="FF6C3483"/>
      <name val="Calibri"/>
      <charset val="1"/>
    </font>
    <font>
      <b/>
      <sz val="18"/>
      <color rgb="FFC0392B"/>
      <name val="Calibri"/>
      <charset val="1"/>
    </font>
    <font>
      <i/>
      <sz val="10"/>
      <color rgb="FFB7950B"/>
      <name val="Calibri"/>
      <charset val="1"/>
    </font>
    <font>
      <i/>
      <sz val="9"/>
      <color rgb="FF5D6D7E"/>
      <name val="Calibri"/>
      <charset val="1"/>
    </font>
    <font>
      <b/>
      <sz val="9"/>
      <color rgb="FF1B4F72"/>
      <name val="Calibri"/>
      <charset val="1"/>
    </font>
    <font>
      <sz val="9"/>
      <color rgb="FF2C3E50"/>
      <name val="Calibri"/>
      <charset val="1"/>
    </font>
    <font>
      <b/>
      <sz val="10"/>
      <color rgb="FF154360"/>
      <name val="Calibri"/>
      <charset val="1"/>
    </font>
    <font>
      <sz val="10"/>
      <color rgb="FF1A1A1A"/>
      <name val="Calibri"/>
      <charset val="1"/>
    </font>
    <font>
      <i/>
      <sz val="10"/>
      <color rgb="FF0E6655"/>
      <name val="Calibri"/>
      <charset val="1"/>
    </font>
    <font>
      <sz val="10"/>
      <name val="Calibri"/>
      <charset val="1"/>
    </font>
    <font>
      <b/>
      <sz val="15"/>
      <color rgb="FFFFFFFF"/>
      <name val="Calibri"/>
      <charset val="1"/>
    </font>
    <font>
      <b/>
      <sz val="24"/>
      <color rgb="FF1B4F72"/>
      <name val="Calibri"/>
      <charset val="1"/>
    </font>
    <font>
      <b/>
      <sz val="24"/>
      <color rgb="FF1E8449"/>
      <name val="Calibri"/>
      <charset val="1"/>
    </font>
    <font>
      <b/>
      <sz val="24"/>
      <color rgb="FF0E6655"/>
      <name val="Calibri"/>
      <charset val="1"/>
    </font>
    <font>
      <b/>
      <sz val="24"/>
      <color rgb="FF6C3483"/>
      <name val="Calibri"/>
      <charset val="1"/>
    </font>
    <font>
      <b/>
      <sz val="24"/>
      <color rgb="FFC0392B"/>
      <name val="Calibri"/>
      <charset val="1"/>
    </font>
    <font>
      <b/>
      <sz val="11"/>
      <color rgb="FF1A1A1A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b/>
      <sz val="10"/>
      <color rgb="FF784212"/>
      <name val="Calibri"/>
      <charset val="1"/>
    </font>
    <font>
      <b/>
      <sz val="11"/>
      <name val="Calibri"/>
      <charset val="1"/>
    </font>
    <font>
      <b/>
      <sz val="10"/>
      <color rgb="FFC0392B"/>
      <name val="Calibri"/>
      <charset val="1"/>
    </font>
    <font>
      <i/>
      <sz val="10"/>
      <color rgb="FF6C3483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1B4F72"/>
        <bgColor rgb="FF1A5276"/>
      </patternFill>
    </fill>
    <fill>
      <patternFill patternType="solid">
        <fgColor rgb="FF2980B9"/>
        <bgColor rgb="FF4F81BD"/>
      </patternFill>
    </fill>
    <fill>
      <patternFill patternType="solid">
        <fgColor rgb="FFD6EAF8"/>
        <bgColor rgb="FFDFF0FB"/>
      </patternFill>
    </fill>
    <fill>
      <patternFill patternType="solid">
        <fgColor rgb="FFEBF5FB"/>
        <bgColor rgb="FFF2F3F4"/>
      </patternFill>
    </fill>
    <fill>
      <patternFill patternType="solid">
        <fgColor rgb="FF2C3E50"/>
        <bgColor rgb="FF333333"/>
      </patternFill>
    </fill>
    <fill>
      <patternFill patternType="solid">
        <fgColor rgb="FFC0392B"/>
        <bgColor rgb="FF784212"/>
      </patternFill>
    </fill>
    <fill>
      <patternFill patternType="solid">
        <fgColor rgb="FFF8F9FA"/>
        <bgColor rgb="FFF9F9F9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1E8449"/>
        <bgColor rgb="FF0E6655"/>
      </patternFill>
    </fill>
    <fill>
      <patternFill patternType="solid">
        <fgColor rgb="FFD5F5E3"/>
        <bgColor rgb="FFDFF0FB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FF2F2"/>
      </patternFill>
    </fill>
    <fill>
      <patternFill patternType="solid">
        <fgColor rgb="FF0E6655"/>
        <bgColor rgb="FF1E5631"/>
      </patternFill>
    </fill>
    <fill>
      <patternFill patternType="solid">
        <fgColor rgb="FF6C3483"/>
        <bgColor rgb="FF8E44AD"/>
      </patternFill>
    </fill>
    <fill>
      <patternFill patternType="solid">
        <fgColor rgb="FFFFFFFF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DFF0FB"/>
        <bgColor rgb="FFD6EAF8"/>
      </patternFill>
    </fill>
    <fill>
      <patternFill patternType="solid">
        <fgColor rgb="FFF2F3F4"/>
        <bgColor rgb="FFF5EEF8"/>
      </patternFill>
    </fill>
    <fill>
      <patternFill patternType="solid">
        <fgColor rgb="FFFDEBD0"/>
        <bgColor rgb="FFFFF2F2"/>
      </patternFill>
    </fill>
    <fill>
      <patternFill patternType="solid">
        <fgColor rgb="FFF5EEF8"/>
        <bgColor rgb="FFF2F3F4"/>
      </patternFill>
    </fill>
  </fills>
  <borders count="21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/>
      <diagonal/>
    </border>
    <border>
      <left style="thin">
        <color rgb="FF2980B9"/>
      </left>
      <right/>
      <top style="thin">
        <color rgb="FF2980B9"/>
      </top>
      <bottom style="thin">
        <color rgb="FF2980B9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medium">
        <color rgb="FF85929E"/>
      </left>
      <right/>
      <top style="medium">
        <color rgb="FF85929E"/>
      </top>
      <bottom style="medium">
        <color rgb="FF85929E"/>
      </bottom>
      <diagonal/>
    </border>
    <border>
      <left style="thin">
        <color rgb="FFF0E27A"/>
      </left>
      <right/>
      <top style="thin">
        <color rgb="FFF0E27A"/>
      </top>
      <bottom style="thin">
        <color rgb="FFF0E27A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27AE60"/>
      </left>
      <right/>
      <top style="thin">
        <color rgb="FF27AE60"/>
      </top>
      <bottom style="thin">
        <color rgb="FF27AE60"/>
      </bottom>
      <diagonal/>
    </border>
    <border>
      <left style="thin">
        <color rgb="FF8E44AD"/>
      </left>
      <right/>
      <top style="thin">
        <color rgb="FF8E44AD"/>
      </top>
      <bottom style="thin">
        <color rgb="FF8E44AD"/>
      </bottom>
      <diagonal/>
    </border>
    <border>
      <left style="thin">
        <color rgb="FF2980B9"/>
      </left>
      <right style="thin">
        <color rgb="FF2980B9"/>
      </right>
      <top/>
      <bottom/>
      <diagonal/>
    </border>
    <border>
      <left/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BDC3C7"/>
      </top>
      <bottom/>
      <diagonal/>
    </border>
    <border>
      <left style="thin">
        <color rgb="FFBDC3C7"/>
      </left>
      <right/>
      <top/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/>
      <top style="medium">
        <color rgb="FF85929E"/>
      </top>
      <bottom style="medium">
        <color rgb="FF85929E"/>
      </bottom>
      <diagonal/>
    </border>
    <border>
      <left/>
      <right/>
      <top style="thin">
        <color rgb="FFF0E27A"/>
      </top>
      <bottom style="thin">
        <color rgb="FFF0E27A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27AE60"/>
      </top>
      <bottom style="thin">
        <color rgb="FF27AE60"/>
      </bottom>
      <diagonal/>
    </border>
    <border>
      <left/>
      <right/>
      <top style="thin">
        <color rgb="FF8E44AD"/>
      </top>
      <bottom style="thin">
        <color rgb="FF8E44AD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7" fillId="2" borderId="8" xfId="0" applyFont="1" applyFill="1" applyBorder="1" applyAlignment="1">
      <alignment horizontal="center" vertical="center" wrapText="1"/>
    </xf>
    <xf numFmtId="0" fontId="8" fillId="19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left" vertical="center" wrapText="1"/>
    </xf>
    <xf numFmtId="0" fontId="6" fillId="18" borderId="8" xfId="0" applyFont="1" applyFill="1" applyBorder="1" applyAlignment="1">
      <alignment horizontal="center" vertical="center"/>
    </xf>
    <xf numFmtId="0" fontId="22" fillId="18" borderId="8" xfId="0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left" vertical="center"/>
    </xf>
    <xf numFmtId="0" fontId="24" fillId="6" borderId="8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 wrapText="1"/>
    </xf>
    <xf numFmtId="0" fontId="24" fillId="20" borderId="8" xfId="0" applyFont="1" applyFill="1" applyBorder="1" applyAlignment="1">
      <alignment horizontal="center" vertical="center"/>
    </xf>
    <xf numFmtId="0" fontId="24" fillId="20" borderId="8" xfId="0" applyFont="1" applyFill="1" applyBorder="1" applyAlignment="1">
      <alignment horizontal="left" vertical="center"/>
    </xf>
    <xf numFmtId="0" fontId="24" fillId="20" borderId="8" xfId="0" applyFont="1" applyFill="1" applyBorder="1" applyAlignment="1">
      <alignment horizontal="left" vertical="center" wrapText="1"/>
    </xf>
    <xf numFmtId="0" fontId="26" fillId="18" borderId="8" xfId="0" applyFont="1" applyFill="1" applyBorder="1" applyAlignment="1">
      <alignment horizontal="center" vertical="center"/>
    </xf>
    <xf numFmtId="0" fontId="26" fillId="18" borderId="8" xfId="0" applyFont="1" applyFill="1" applyBorder="1" applyAlignment="1">
      <alignment horizontal="left" vertical="center"/>
    </xf>
    <xf numFmtId="0" fontId="26" fillId="18" borderId="8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left" vertical="center" wrapText="1"/>
    </xf>
    <xf numFmtId="0" fontId="26" fillId="9" borderId="8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left" vertical="center"/>
    </xf>
    <xf numFmtId="0" fontId="26" fillId="9" borderId="8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left" vertical="center" wrapText="1"/>
    </xf>
    <xf numFmtId="0" fontId="33" fillId="18" borderId="8" xfId="0" applyFont="1" applyFill="1" applyBorder="1" applyAlignment="1">
      <alignment horizontal="center" vertical="center" wrapText="1"/>
    </xf>
    <xf numFmtId="9" fontId="24" fillId="21" borderId="8" xfId="0" applyNumberFormat="1" applyFont="1" applyFill="1" applyBorder="1" applyAlignment="1">
      <alignment horizontal="center" vertical="center" wrapText="1"/>
    </xf>
    <xf numFmtId="0" fontId="34" fillId="18" borderId="8" xfId="0" applyFont="1" applyFill="1" applyBorder="1" applyAlignment="1">
      <alignment horizontal="left" vertical="center" wrapText="1"/>
    </xf>
    <xf numFmtId="0" fontId="35" fillId="18" borderId="8" xfId="0" applyFont="1" applyFill="1" applyBorder="1" applyAlignment="1">
      <alignment horizontal="center" vertical="center" wrapText="1"/>
    </xf>
    <xf numFmtId="0" fontId="26" fillId="18" borderId="8" xfId="0" applyFont="1" applyFill="1" applyBorder="1" applyAlignment="1">
      <alignment horizontal="center" vertical="center" wrapText="1"/>
    </xf>
    <xf numFmtId="9" fontId="26" fillId="18" borderId="8" xfId="0" applyNumberFormat="1" applyFont="1" applyFill="1" applyBorder="1" applyAlignment="1">
      <alignment horizontal="center" vertical="center" wrapText="1"/>
    </xf>
    <xf numFmtId="0" fontId="36" fillId="22" borderId="8" xfId="0" applyFont="1" applyFill="1" applyBorder="1" applyAlignment="1">
      <alignment horizontal="left" vertical="center" wrapText="1"/>
    </xf>
    <xf numFmtId="0" fontId="34" fillId="9" borderId="8" xfId="0" applyFont="1" applyFill="1" applyBorder="1" applyAlignment="1">
      <alignment horizontal="left" vertical="center" wrapText="1"/>
    </xf>
    <xf numFmtId="0" fontId="35" fillId="9" borderId="8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9" fontId="26" fillId="9" borderId="8" xfId="0" applyNumberFormat="1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left" vertical="center" wrapText="1"/>
    </xf>
    <xf numFmtId="0" fontId="10" fillId="13" borderId="8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37" fillId="18" borderId="8" xfId="0" applyFont="1" applyFill="1" applyBorder="1" applyAlignment="1">
      <alignment horizontal="center" vertical="center" wrapText="1"/>
    </xf>
    <xf numFmtId="0" fontId="38" fillId="21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left" vertical="center" wrapText="1"/>
    </xf>
    <xf numFmtId="0" fontId="26" fillId="23" borderId="8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0" fillId="0" borderId="15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3" fillId="17" borderId="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2" borderId="0" xfId="0" applyFill="1"/>
    <xf numFmtId="0" fontId="5" fillId="5" borderId="2" xfId="0" applyFont="1" applyFill="1" applyBorder="1" applyAlignment="1">
      <alignment horizontal="left" vertical="center"/>
    </xf>
    <xf numFmtId="0" fontId="0" fillId="0" borderId="12" xfId="0" applyBorder="1"/>
    <xf numFmtId="0" fontId="14" fillId="18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7" fillId="16" borderId="0" xfId="0" applyFont="1" applyFill="1" applyAlignment="1">
      <alignment horizontal="center" vertical="center" wrapText="1"/>
    </xf>
    <xf numFmtId="9" fontId="16" fillId="18" borderId="5" xfId="0" applyNumberFormat="1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9" fillId="15" borderId="6" xfId="0" applyFont="1" applyFill="1" applyBorder="1" applyAlignment="1">
      <alignment horizontal="left" vertical="center" wrapText="1"/>
    </xf>
    <xf numFmtId="0" fontId="0" fillId="0" borderId="17" xfId="0" applyBorder="1"/>
    <xf numFmtId="0" fontId="13" fillId="8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8" fillId="10" borderId="4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9" fontId="17" fillId="18" borderId="5" xfId="0" applyNumberFormat="1" applyFont="1" applyFill="1" applyBorder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left" vertical="center"/>
    </xf>
    <xf numFmtId="0" fontId="0" fillId="0" borderId="18" xfId="0" applyBorder="1"/>
    <xf numFmtId="0" fontId="25" fillId="13" borderId="9" xfId="0" applyFont="1" applyFill="1" applyBorder="1" applyAlignment="1">
      <alignment horizontal="left" vertical="center" wrapText="1"/>
    </xf>
    <xf numFmtId="0" fontId="0" fillId="0" borderId="19" xfId="0" applyBorder="1"/>
    <xf numFmtId="0" fontId="28" fillId="18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0" fillId="16" borderId="5" xfId="0" applyFill="1" applyBorder="1"/>
    <xf numFmtId="0" fontId="27" fillId="2" borderId="0" xfId="0" applyFont="1" applyFill="1" applyAlignment="1">
      <alignment horizontal="center" vertical="center" wrapText="1"/>
    </xf>
    <xf numFmtId="0" fontId="29" fillId="18" borderId="5" xfId="0" applyFont="1" applyFill="1" applyBorder="1" applyAlignment="1">
      <alignment horizontal="center" vertical="center" wrapText="1"/>
    </xf>
    <xf numFmtId="9" fontId="31" fillId="18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/>
    <xf numFmtId="0" fontId="8" fillId="12" borderId="5" xfId="0" applyFont="1" applyFill="1" applyBorder="1" applyAlignment="1">
      <alignment horizontal="center" vertical="center" wrapText="1"/>
    </xf>
    <xf numFmtId="0" fontId="32" fillId="18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0" fillId="12" borderId="5" xfId="0" applyFill="1" applyBorder="1"/>
    <xf numFmtId="0" fontId="0" fillId="17" borderId="5" xfId="0" applyFill="1" applyBorder="1"/>
    <xf numFmtId="0" fontId="0" fillId="8" borderId="5" xfId="0" applyFill="1" applyBorder="1"/>
    <xf numFmtId="9" fontId="30" fillId="18" borderId="5" xfId="0" applyNumberFormat="1" applyFont="1" applyFill="1" applyBorder="1" applyAlignment="1">
      <alignment horizontal="center" vertical="center" wrapText="1"/>
    </xf>
    <xf numFmtId="0" fontId="39" fillId="23" borderId="10" xfId="0" applyFont="1" applyFill="1" applyBorder="1" applyAlignment="1">
      <alignment horizontal="left" vertical="center" wrapText="1"/>
    </xf>
    <xf numFmtId="0" fontId="0" fillId="0" borderId="20" xfId="0" applyBorder="1"/>
  </cellXfs>
  <cellStyles count="1">
    <cellStyle name="Normal" xfId="0" builtinId="0"/>
  </cellStyles>
  <dxfs count="21">
    <dxf>
      <font>
        <b/>
        <color rgb="FFFFFFFF"/>
        <name val="Calibri"/>
        <charset val="1"/>
      </font>
      <fill>
        <patternFill>
          <bgColor rgb="FFC0392B"/>
        </patternFill>
      </fill>
    </dxf>
    <dxf>
      <font>
        <b/>
        <sz val="10"/>
        <color rgb="FF7B241C"/>
        <name val="Calibri"/>
        <charset val="1"/>
      </font>
      <fill>
        <patternFill>
          <bgColor rgb="FFFADBD8"/>
        </patternFill>
      </fill>
    </dxf>
    <dxf>
      <font>
        <b/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84212"/>
        <name val="Calibri"/>
        <charset val="1"/>
      </font>
      <fill>
        <patternFill>
          <bgColor rgb="FFFDEBD0"/>
        </patternFill>
      </fill>
    </dxf>
    <dxf>
      <font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D6608"/>
        <name val="Calibri"/>
        <charset val="1"/>
      </font>
      <fill>
        <patternFill>
          <bgColor rgb="FFFEF9E7"/>
        </patternFill>
      </fill>
    </dxf>
    <dxf>
      <font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B241C"/>
        <name val="Calibri"/>
        <charset val="1"/>
      </font>
      <fill>
        <patternFill>
          <bgColor rgb="FFFADBD8"/>
        </patternFill>
      </fill>
    </dxf>
    <dxf>
      <font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D6608"/>
        <name val="Calibri"/>
        <charset val="1"/>
      </font>
      <fill>
        <patternFill>
          <bgColor rgb="FFFEF9E7"/>
        </patternFill>
      </fill>
    </dxf>
    <dxf>
      <font>
        <b/>
        <sz val="10"/>
        <color rgb="FFFFFFFF"/>
        <name val="Calibri"/>
        <charset val="1"/>
      </font>
      <fill>
        <patternFill>
          <bgColor rgb="FFE67E22"/>
        </patternFill>
      </fill>
    </dxf>
    <dxf>
      <font>
        <b/>
        <sz val="10"/>
        <color rgb="FFFFFFFF"/>
        <name val="Calibri"/>
        <charset val="1"/>
      </font>
      <fill>
        <patternFill>
          <bgColor rgb="FFC0392B"/>
        </patternFill>
      </fill>
    </dxf>
    <dxf>
      <font>
        <b/>
        <sz val="10"/>
        <color rgb="FFFFFFFF"/>
        <name val="Calibri"/>
        <charset val="1"/>
      </font>
      <fill>
        <patternFill>
          <bgColor rgb="FFC0392B"/>
        </patternFill>
      </fill>
    </dxf>
    <dxf>
      <font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D6608"/>
        <name val="Calibri"/>
        <charset val="1"/>
      </font>
      <fill>
        <patternFill>
          <bgColor rgb="FFFEF9E7"/>
        </patternFill>
      </fill>
    </dxf>
    <dxf>
      <font>
        <sz val="10"/>
        <color rgb="FF7B241C"/>
        <name val="Calibri"/>
        <charset val="1"/>
      </font>
      <fill>
        <patternFill>
          <bgColor rgb="FFFADBD8"/>
        </patternFill>
      </fill>
    </dxf>
    <dxf>
      <font>
        <sz val="10"/>
        <color rgb="FF1E5631"/>
        <name val="Calibri"/>
        <charset val="1"/>
      </font>
      <fill>
        <patternFill>
          <bgColor rgb="FFD5F5E3"/>
        </patternFill>
      </fill>
    </dxf>
    <dxf>
      <font>
        <sz val="10"/>
        <color rgb="FF7D6608"/>
        <name val="Calibri"/>
        <charset val="1"/>
      </font>
      <fill>
        <patternFill>
          <bgColor rgb="FFFEF9E7"/>
        </patternFill>
      </fill>
    </dxf>
    <dxf>
      <font>
        <sz val="10"/>
        <color rgb="FF784212"/>
        <name val="Calibri"/>
        <charset val="1"/>
      </font>
      <fill>
        <patternFill>
          <bgColor rgb="FFFDEBD0"/>
        </patternFill>
      </fill>
    </dxf>
    <dxf>
      <font>
        <sz val="10"/>
        <color rgb="FF7B241C"/>
        <name val="Calibri"/>
        <charset val="1"/>
      </font>
      <fill>
        <patternFill>
          <bgColor rgb="FFFADBD8"/>
        </patternFill>
      </fill>
    </dxf>
    <dxf>
      <fill>
        <patternFill>
          <bgColor rgb="FFFF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2F2"/>
      <rgbColor rgb="FFFF00FF"/>
      <rgbColor rgb="FF00FFFF"/>
      <rgbColor rgb="FF784212"/>
      <rgbColor rgb="FF1E5631"/>
      <rgbColor rgb="FF1B4F72"/>
      <rgbColor rgb="FF7D6608"/>
      <rgbColor rgb="FF800080"/>
      <rgbColor rgb="FF1E8449"/>
      <rgbColor rgb="FFBDC3C7"/>
      <rgbColor rgb="FF878787"/>
      <rgbColor rgb="FFF5EEF8"/>
      <rgbColor rgb="FF6C3483"/>
      <rgbColor rgb="FFFEF9E7"/>
      <rgbColor rgb="FFDFF0FB"/>
      <rgbColor rgb="FF660066"/>
      <rgbColor rgb="FFEBF5FB"/>
      <rgbColor rgb="FF2980B9"/>
      <rgbColor rgb="FFD5D8DC"/>
      <rgbColor rgb="FF1A5276"/>
      <rgbColor rgb="FFFF00FF"/>
      <rgbColor rgb="FFF2F3F4"/>
      <rgbColor rgb="FF00FFFF"/>
      <rgbColor rgb="FF800080"/>
      <rgbColor rgb="FF800000"/>
      <rgbColor rgb="FF0E6655"/>
      <rgbColor rgb="FF0000FF"/>
      <rgbColor rgb="FF00CCFF"/>
      <rgbColor rgb="FFD6EAF8"/>
      <rgbColor rgb="FFD5F5E3"/>
      <rgbColor rgb="FFFDEBD0"/>
      <rgbColor rgb="FFA9CCE3"/>
      <rgbColor rgb="FFFADBD8"/>
      <rgbColor rgb="FFD9D9D9"/>
      <rgbColor rgb="FFF0E27A"/>
      <rgbColor rgb="FF4F81BD"/>
      <rgbColor rgb="FFF8F9FA"/>
      <rgbColor rgb="FFB7950B"/>
      <rgbColor rgb="FFF9F9F9"/>
      <rgbColor rgb="FFF39C12"/>
      <rgbColor rgb="FFE67E22"/>
      <rgbColor rgb="FF5D6D7E"/>
      <rgbColor rgb="FF85929E"/>
      <rgbColor rgb="FF154360"/>
      <rgbColor rgb="FF27AE60"/>
      <rgbColor rgb="FF0D1B2A"/>
      <rgbColor rgb="FF1A1A1A"/>
      <rgbColor rgb="FF7B241C"/>
      <rgbColor rgb="FF8E44AD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Completion % by Control Family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Dashboard'!$O$9</c:f>
              <c:strCache>
                <c:ptCount val="1"/>
                <c:pt idx="0">
                  <c:v>Complete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Dashboard'!$K$10:$K$28</c:f>
              <c:strCache>
                <c:ptCount val="19"/>
                <c:pt idx="0">
                  <c:v>AC</c:v>
                </c:pt>
                <c:pt idx="1">
                  <c:v>AT</c:v>
                </c:pt>
                <c:pt idx="2">
                  <c:v>AU</c:v>
                </c:pt>
                <c:pt idx="3">
                  <c:v>CA</c:v>
                </c:pt>
                <c:pt idx="4">
                  <c:v>CM</c:v>
                </c:pt>
                <c:pt idx="5">
                  <c:v>CP</c:v>
                </c:pt>
                <c:pt idx="6">
                  <c:v>IA</c:v>
                </c:pt>
                <c:pt idx="7">
                  <c:v>IR</c:v>
                </c:pt>
                <c:pt idx="8">
                  <c:v>MA</c:v>
                </c:pt>
                <c:pt idx="9">
                  <c:v>MP</c:v>
                </c:pt>
                <c:pt idx="10">
                  <c:v>PE</c:v>
                </c:pt>
                <c:pt idx="11">
                  <c:v>PL</c:v>
                </c:pt>
                <c:pt idx="12">
                  <c:v>PM</c:v>
                </c:pt>
                <c:pt idx="13">
                  <c:v>PS</c:v>
                </c:pt>
                <c:pt idx="14">
                  <c:v>PT</c:v>
                </c:pt>
                <c:pt idx="15">
                  <c:v>RA</c:v>
                </c:pt>
                <c:pt idx="16">
                  <c:v>SA</c:v>
                </c:pt>
                <c:pt idx="17">
                  <c:v>SC</c:v>
                </c:pt>
                <c:pt idx="18">
                  <c:v>SI</c:v>
                </c:pt>
              </c:strCache>
            </c:strRef>
          </c:cat>
          <c:val>
            <c:numRef>
              <c:f>'📊 Dashboard'!$O$10:$O$28</c:f>
              <c:numCache>
                <c:formatCode>0%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4-4F27-BD1F-D4F3A71F9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90717"/>
        <c:axId val="57694223"/>
      </c:barChart>
      <c:catAx>
        <c:axId val="914907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94223"/>
        <c:crosses val="autoZero"/>
        <c:auto val="1"/>
        <c:lblAlgn val="ctr"/>
        <c:lblOffset val="100"/>
        <c:noMultiLvlLbl val="0"/>
      </c:catAx>
      <c:valAx>
        <c:axId val="576942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4907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30</xdr:row>
      <xdr:rowOff>0</xdr:rowOff>
    </xdr:from>
    <xdr:to>
      <xdr:col>21</xdr:col>
      <xdr:colOff>255600</xdr:colOff>
      <xdr:row>64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B1:M45"/>
  <sheetViews>
    <sheetView showGridLines="0" tabSelected="1" zoomScaleNormal="100" workbookViewId="0">
      <selection activeCell="C10" sqref="C10:M11"/>
    </sheetView>
  </sheetViews>
  <sheetFormatPr defaultColWidth="8.7109375" defaultRowHeight="15" x14ac:dyDescent="0.25"/>
  <cols>
    <col min="1" max="1" width="3" customWidth="1"/>
    <col min="2" max="2" width="4" customWidth="1"/>
    <col min="3" max="3" width="28" customWidth="1"/>
    <col min="4" max="13" width="12" customWidth="1"/>
  </cols>
  <sheetData>
    <row r="1" spans="2:13" ht="7.5" customHeight="1" x14ac:dyDescent="0.25">
      <c r="B1" s="53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2:13" ht="27.75" customHeight="1" x14ac:dyDescent="0.25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2:13" ht="27.75" customHeight="1" x14ac:dyDescent="0.25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2:13" ht="27.75" customHeight="1" x14ac:dyDescent="0.25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2:13" ht="19.5" customHeight="1" x14ac:dyDescent="0.25">
      <c r="B5" s="65" t="s">
        <v>1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2:13" ht="7.5" customHeight="1" x14ac:dyDescent="0.25">
      <c r="B6" s="53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2:13" ht="9.75" customHeight="1" x14ac:dyDescent="0.25"/>
    <row r="8" spans="2:13" ht="30" customHeight="1" x14ac:dyDescent="0.25">
      <c r="B8" s="50" t="s">
        <v>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2:13" ht="19.5" customHeight="1" x14ac:dyDescent="0.25">
      <c r="B9" s="57" t="s">
        <v>3</v>
      </c>
      <c r="C9" s="54" t="s">
        <v>4</v>
      </c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2:13" ht="13.5" customHeight="1" x14ac:dyDescent="0.25">
      <c r="B10" s="58"/>
      <c r="C10" s="71" t="s">
        <v>1852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2:13" ht="13.5" customHeight="1" x14ac:dyDescent="0.25">
      <c r="B11" s="58"/>
      <c r="C11" s="73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2:13" ht="6" customHeight="1" x14ac:dyDescent="0.25"/>
    <row r="13" spans="2:13" ht="19.5" customHeight="1" x14ac:dyDescent="0.25">
      <c r="B13" s="57" t="s">
        <v>5</v>
      </c>
      <c r="C13" s="54" t="s">
        <v>6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2:13" ht="13.5" customHeight="1" x14ac:dyDescent="0.25">
      <c r="B14" s="58"/>
      <c r="C14" s="71" t="s">
        <v>7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</row>
    <row r="15" spans="2:13" ht="13.5" customHeight="1" x14ac:dyDescent="0.25">
      <c r="B15" s="58"/>
      <c r="C15" s="73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2:13" ht="6" customHeight="1" x14ac:dyDescent="0.25"/>
    <row r="17" spans="2:13" ht="19.5" customHeight="1" x14ac:dyDescent="0.25">
      <c r="B17" s="57" t="s">
        <v>8</v>
      </c>
      <c r="C17" s="54" t="s">
        <v>9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2:13" ht="13.5" customHeight="1" x14ac:dyDescent="0.25">
      <c r="B18" s="58"/>
      <c r="C18" s="71" t="s">
        <v>10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2:13" ht="13.5" customHeight="1" x14ac:dyDescent="0.25">
      <c r="B19" s="58"/>
      <c r="C19" s="73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2:13" ht="6" customHeight="1" x14ac:dyDescent="0.25"/>
    <row r="21" spans="2:13" ht="19.5" customHeight="1" x14ac:dyDescent="0.25">
      <c r="B21" s="57" t="s">
        <v>11</v>
      </c>
      <c r="C21" s="54" t="s">
        <v>12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2:13" ht="13.5" customHeight="1" x14ac:dyDescent="0.25">
      <c r="B22" s="58"/>
      <c r="C22" s="71" t="s">
        <v>13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</row>
    <row r="23" spans="2:13" ht="13.5" customHeight="1" x14ac:dyDescent="0.25">
      <c r="B23" s="58"/>
      <c r="C23" s="73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2:13" ht="6" customHeight="1" x14ac:dyDescent="0.25"/>
    <row r="25" spans="2:13" ht="19.5" customHeight="1" x14ac:dyDescent="0.25">
      <c r="B25" s="57" t="s">
        <v>14</v>
      </c>
      <c r="C25" s="54" t="s">
        <v>15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 spans="2:13" ht="13.5" customHeight="1" x14ac:dyDescent="0.25">
      <c r="B26" s="58"/>
      <c r="C26" s="71" t="s">
        <v>16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</row>
    <row r="27" spans="2:13" ht="13.5" customHeight="1" x14ac:dyDescent="0.25">
      <c r="B27" s="58"/>
      <c r="C27" s="73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2:13" ht="6" customHeight="1" x14ac:dyDescent="0.25"/>
    <row r="29" spans="2:13" ht="6" customHeight="1" x14ac:dyDescent="0.25"/>
    <row r="30" spans="2:13" ht="24" customHeight="1" x14ac:dyDescent="0.25">
      <c r="B30" s="63" t="s">
        <v>17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2:13" ht="7.5" customHeight="1" x14ac:dyDescent="0.25"/>
    <row r="32" spans="2:13" ht="18" customHeight="1" x14ac:dyDescent="0.25">
      <c r="B32" s="79" t="s">
        <v>18</v>
      </c>
      <c r="C32" s="47"/>
      <c r="D32" s="46" t="s">
        <v>19</v>
      </c>
      <c r="E32" s="47"/>
      <c r="F32" s="47"/>
      <c r="G32" s="47"/>
      <c r="H32" s="47"/>
      <c r="I32" s="47"/>
      <c r="J32" s="47"/>
      <c r="K32" s="47"/>
      <c r="L32" s="47"/>
      <c r="M32" s="47"/>
    </row>
    <row r="33" spans="2:13" ht="18" customHeight="1" x14ac:dyDescent="0.25">
      <c r="B33" s="74" t="s">
        <v>20</v>
      </c>
      <c r="C33" s="47"/>
      <c r="D33" s="46" t="s">
        <v>21</v>
      </c>
      <c r="E33" s="47"/>
      <c r="F33" s="47"/>
      <c r="G33" s="47"/>
      <c r="H33" s="47"/>
      <c r="I33" s="47"/>
      <c r="J33" s="47"/>
      <c r="K33" s="47"/>
      <c r="L33" s="47"/>
      <c r="M33" s="47"/>
    </row>
    <row r="34" spans="2:13" ht="18" customHeight="1" x14ac:dyDescent="0.25">
      <c r="B34" s="66" t="s">
        <v>22</v>
      </c>
      <c r="C34" s="47"/>
      <c r="D34" s="46" t="s">
        <v>23</v>
      </c>
      <c r="E34" s="47"/>
      <c r="F34" s="47"/>
      <c r="G34" s="47"/>
      <c r="H34" s="47"/>
      <c r="I34" s="47"/>
      <c r="J34" s="47"/>
      <c r="K34" s="47"/>
      <c r="L34" s="47"/>
      <c r="M34" s="47"/>
    </row>
    <row r="35" spans="2:13" ht="18" customHeight="1" x14ac:dyDescent="0.25">
      <c r="B35" s="81" t="s">
        <v>24</v>
      </c>
      <c r="C35" s="47"/>
      <c r="D35" s="46" t="s">
        <v>25</v>
      </c>
      <c r="E35" s="47"/>
      <c r="F35" s="47"/>
      <c r="G35" s="47"/>
      <c r="H35" s="47"/>
      <c r="I35" s="47"/>
      <c r="J35" s="47"/>
      <c r="K35" s="47"/>
      <c r="L35" s="47"/>
      <c r="M35" s="47"/>
    </row>
    <row r="36" spans="2:13" ht="18" customHeight="1" x14ac:dyDescent="0.25">
      <c r="B36" s="78" t="s">
        <v>26</v>
      </c>
      <c r="C36" s="47"/>
      <c r="D36" s="46" t="s">
        <v>27</v>
      </c>
      <c r="E36" s="47"/>
      <c r="F36" s="47"/>
      <c r="G36" s="47"/>
      <c r="H36" s="47"/>
      <c r="I36" s="47"/>
      <c r="J36" s="47"/>
      <c r="K36" s="47"/>
      <c r="L36" s="47"/>
      <c r="M36" s="47"/>
    </row>
    <row r="37" spans="2:13" ht="18" customHeight="1" x14ac:dyDescent="0.25">
      <c r="B37" s="67" t="s">
        <v>28</v>
      </c>
      <c r="C37" s="47"/>
      <c r="D37" s="46" t="s">
        <v>29</v>
      </c>
      <c r="E37" s="47"/>
      <c r="F37" s="47"/>
      <c r="G37" s="47"/>
      <c r="H37" s="47"/>
      <c r="I37" s="47"/>
      <c r="J37" s="47"/>
      <c r="K37" s="47"/>
      <c r="L37" s="47"/>
      <c r="M37" s="47"/>
    </row>
    <row r="38" spans="2:13" ht="18" customHeight="1" x14ac:dyDescent="0.25">
      <c r="B38" s="64" t="s">
        <v>30</v>
      </c>
      <c r="C38" s="47"/>
      <c r="D38" s="46" t="s">
        <v>31</v>
      </c>
      <c r="E38" s="47"/>
      <c r="F38" s="47"/>
      <c r="G38" s="47"/>
      <c r="H38" s="47"/>
      <c r="I38" s="47"/>
      <c r="J38" s="47"/>
      <c r="K38" s="47"/>
      <c r="L38" s="47"/>
      <c r="M38" s="47"/>
    </row>
    <row r="39" spans="2:13" ht="9.75" customHeight="1" x14ac:dyDescent="0.25"/>
    <row r="40" spans="2:13" ht="24" customHeight="1" x14ac:dyDescent="0.25">
      <c r="B40" s="59" t="s">
        <v>32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2:13" ht="19.5" customHeight="1" x14ac:dyDescent="0.25">
      <c r="B41" s="80" t="s">
        <v>33</v>
      </c>
      <c r="C41" s="52"/>
      <c r="D41" s="61" t="s">
        <v>34</v>
      </c>
      <c r="E41" s="52"/>
      <c r="F41" s="62" t="s">
        <v>35</v>
      </c>
      <c r="G41" s="52"/>
      <c r="H41" s="51" t="s">
        <v>36</v>
      </c>
      <c r="I41" s="52"/>
      <c r="J41" s="70" t="s">
        <v>37</v>
      </c>
      <c r="K41" s="52"/>
    </row>
    <row r="42" spans="2:13" ht="30" customHeight="1" x14ac:dyDescent="0.25">
      <c r="B42" s="56">
        <f>COUNTIF('📋 Controls'!A3:A302,"&lt;&gt;")</f>
        <v>300</v>
      </c>
      <c r="C42" s="52"/>
      <c r="D42" s="75">
        <f>COUNTIF('📋 Controls'!I3:I302,"Implemented")</f>
        <v>0</v>
      </c>
      <c r="E42" s="52"/>
      <c r="F42" s="60">
        <f>IFERROR(COUNTIF('📋 Controls'!I3:I302,"Implemented")/COUNTIF('📋 Controls'!A3:A302,"&lt;&gt;"),0)</f>
        <v>0</v>
      </c>
      <c r="G42" s="52"/>
      <c r="H42" s="76">
        <f>IFERROR(COUNTIF('📋 Controls'!N3:N302,"Yes")/COUNTIF('📋 Controls'!A3:A302,"&lt;&gt;"),0)</f>
        <v>0</v>
      </c>
      <c r="I42" s="52"/>
      <c r="J42" s="77">
        <f>COUNTIFS('📋 Controls'!K3:K302,"Critical",'📋 Controls'!I3:I302,"&lt;&gt;Implemented")+COUNTIFS('📋 Controls'!K3:K302,"High",'📋 Controls'!I3:I302,"&lt;&gt;Implemented")</f>
        <v>104</v>
      </c>
      <c r="K42" s="52"/>
    </row>
    <row r="43" spans="2:13" ht="7.5" customHeight="1" x14ac:dyDescent="0.25"/>
    <row r="44" spans="2:13" ht="12" customHeight="1" x14ac:dyDescent="0.25"/>
    <row r="45" spans="2:13" ht="21.75" customHeight="1" x14ac:dyDescent="0.25">
      <c r="B45" s="68" t="s">
        <v>38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</row>
  </sheetData>
  <mergeCells count="47">
    <mergeCell ref="C22:M23"/>
    <mergeCell ref="B45:M45"/>
    <mergeCell ref="J41:K41"/>
    <mergeCell ref="C18:M19"/>
    <mergeCell ref="C14:M15"/>
    <mergeCell ref="C17:M17"/>
    <mergeCell ref="B17:B19"/>
    <mergeCell ref="D32:M32"/>
    <mergeCell ref="B33:C33"/>
    <mergeCell ref="D42:E42"/>
    <mergeCell ref="H42:I42"/>
    <mergeCell ref="B13:B15"/>
    <mergeCell ref="J42:K42"/>
    <mergeCell ref="B36:C36"/>
    <mergeCell ref="B32:C32"/>
    <mergeCell ref="B41:C41"/>
    <mergeCell ref="C26:M27"/>
    <mergeCell ref="B42:C42"/>
    <mergeCell ref="C25:M25"/>
    <mergeCell ref="B25:B27"/>
    <mergeCell ref="B40:M40"/>
    <mergeCell ref="F42:G42"/>
    <mergeCell ref="D34:M34"/>
    <mergeCell ref="D41:E41"/>
    <mergeCell ref="F41:G41"/>
    <mergeCell ref="B30:M30"/>
    <mergeCell ref="B38:C38"/>
    <mergeCell ref="B34:C34"/>
    <mergeCell ref="D36:M36"/>
    <mergeCell ref="B37:C37"/>
    <mergeCell ref="B35:C35"/>
    <mergeCell ref="D37:M37"/>
    <mergeCell ref="B2:M4"/>
    <mergeCell ref="B8:M8"/>
    <mergeCell ref="H41:I41"/>
    <mergeCell ref="B1:M1"/>
    <mergeCell ref="D38:M38"/>
    <mergeCell ref="D33:M33"/>
    <mergeCell ref="C13:M13"/>
    <mergeCell ref="D35:M35"/>
    <mergeCell ref="C9:M9"/>
    <mergeCell ref="B6:M6"/>
    <mergeCell ref="B5:M5"/>
    <mergeCell ref="C21:M21"/>
    <mergeCell ref="B21:B23"/>
    <mergeCell ref="B9:B11"/>
    <mergeCell ref="C10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F72"/>
  </sheetPr>
  <dimension ref="A1:R302"/>
  <sheetViews>
    <sheetView showGridLines="0" zoomScaleNormal="100" workbookViewId="0">
      <pane xSplit="4" ySplit="2" topLeftCell="E4" activePane="bottomRight" state="frozen"/>
      <selection pane="topRight" activeCell="E1" sqref="E1"/>
      <selection pane="bottomLeft" activeCell="A3" sqref="A3"/>
      <selection pane="bottomRight" activeCell="F54" sqref="F54"/>
    </sheetView>
  </sheetViews>
  <sheetFormatPr defaultColWidth="8.7109375" defaultRowHeight="15" x14ac:dyDescent="0.25"/>
  <cols>
    <col min="1" max="1" width="28" customWidth="1"/>
    <col min="2" max="2" width="10" customWidth="1"/>
    <col min="3" max="3" width="30" customWidth="1"/>
    <col min="4" max="4" width="40" customWidth="1"/>
    <col min="5" max="5" width="26" customWidth="1"/>
    <col min="6" max="6" width="46" customWidth="1"/>
    <col min="7" max="7" width="42" customWidth="1"/>
    <col min="8" max="8" width="44" customWidth="1"/>
    <col min="9" max="9" width="18" customWidth="1"/>
    <col min="10" max="10" width="20" customWidth="1"/>
    <col min="11" max="11" width="10" customWidth="1"/>
    <col min="12" max="12" width="20" customWidth="1"/>
    <col min="13" max="13" width="30" customWidth="1"/>
    <col min="14" max="14" width="15" customWidth="1"/>
    <col min="15" max="15" width="16" customWidth="1"/>
    <col min="16" max="16" width="12" customWidth="1"/>
    <col min="17" max="17" width="38" customWidth="1"/>
    <col min="18" max="18" width="18" customWidth="1"/>
  </cols>
  <sheetData>
    <row r="1" spans="1:18" x14ac:dyDescent="0.25">
      <c r="A1" s="83" t="s">
        <v>39</v>
      </c>
      <c r="B1" s="84"/>
      <c r="C1" s="84"/>
      <c r="D1" s="84"/>
      <c r="E1" s="84"/>
      <c r="F1" s="84"/>
      <c r="G1" s="84"/>
      <c r="H1" s="84"/>
      <c r="I1" s="82" t="s">
        <v>40</v>
      </c>
      <c r="J1" s="55"/>
      <c r="K1" s="55"/>
      <c r="L1" s="55"/>
      <c r="M1" s="55"/>
      <c r="N1" s="55"/>
      <c r="O1" s="55"/>
      <c r="P1" s="55"/>
      <c r="Q1" s="55"/>
      <c r="R1" s="55"/>
    </row>
    <row r="2" spans="1:18" ht="38.25" x14ac:dyDescent="0.25">
      <c r="A2" s="1" t="s">
        <v>41</v>
      </c>
      <c r="B2" s="1" t="s">
        <v>42</v>
      </c>
      <c r="C2" s="1" t="s">
        <v>43</v>
      </c>
      <c r="D2" s="1" t="s">
        <v>44</v>
      </c>
      <c r="E2" s="2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</row>
    <row r="3" spans="1:18" ht="24" x14ac:dyDescent="0.25">
      <c r="A3" s="3" t="s">
        <v>59</v>
      </c>
      <c r="B3" s="4" t="s">
        <v>60</v>
      </c>
      <c r="C3" s="3" t="s">
        <v>61</v>
      </c>
      <c r="D3" s="5"/>
      <c r="E3" s="6" t="s">
        <v>62</v>
      </c>
      <c r="F3" s="5" t="s">
        <v>63</v>
      </c>
      <c r="G3" s="5" t="s">
        <v>64</v>
      </c>
      <c r="H3" s="5" t="s">
        <v>65</v>
      </c>
      <c r="I3" s="7" t="s">
        <v>66</v>
      </c>
      <c r="J3" s="7" t="s">
        <v>67</v>
      </c>
      <c r="K3" s="7" t="s">
        <v>68</v>
      </c>
      <c r="L3" s="8"/>
      <c r="M3" s="8"/>
      <c r="N3" s="7" t="s">
        <v>69</v>
      </c>
      <c r="O3" s="8"/>
      <c r="P3" s="8"/>
      <c r="Q3" s="9"/>
      <c r="R3" s="8"/>
    </row>
    <row r="4" spans="1:18" ht="24" x14ac:dyDescent="0.25">
      <c r="A4" s="10" t="s">
        <v>59</v>
      </c>
      <c r="B4" s="11" t="s">
        <v>70</v>
      </c>
      <c r="C4" s="10" t="s">
        <v>71</v>
      </c>
      <c r="D4" s="12"/>
      <c r="E4" s="6" t="s">
        <v>62</v>
      </c>
      <c r="F4" s="12" t="s">
        <v>72</v>
      </c>
      <c r="G4" s="12" t="s">
        <v>73</v>
      </c>
      <c r="H4" s="12" t="s">
        <v>74</v>
      </c>
      <c r="I4" s="13" t="s">
        <v>66</v>
      </c>
      <c r="J4" s="13" t="s">
        <v>67</v>
      </c>
      <c r="K4" s="13" t="s">
        <v>68</v>
      </c>
      <c r="L4" s="14"/>
      <c r="M4" s="14"/>
      <c r="N4" s="13" t="s">
        <v>69</v>
      </c>
      <c r="O4" s="14"/>
      <c r="P4" s="14"/>
      <c r="Q4" s="15"/>
      <c r="R4" s="14"/>
    </row>
    <row r="5" spans="1:18" ht="24" x14ac:dyDescent="0.25">
      <c r="A5" s="3" t="s">
        <v>59</v>
      </c>
      <c r="B5" s="4" t="s">
        <v>75</v>
      </c>
      <c r="C5" s="3" t="s">
        <v>76</v>
      </c>
      <c r="D5" s="5"/>
      <c r="E5" s="6" t="s">
        <v>62</v>
      </c>
      <c r="F5" s="5" t="s">
        <v>77</v>
      </c>
      <c r="G5" s="5" t="s">
        <v>78</v>
      </c>
      <c r="H5" s="5" t="s">
        <v>79</v>
      </c>
      <c r="I5" s="7" t="s">
        <v>66</v>
      </c>
      <c r="J5" s="7" t="s">
        <v>67</v>
      </c>
      <c r="K5" s="7" t="s">
        <v>68</v>
      </c>
      <c r="L5" s="8"/>
      <c r="M5" s="8"/>
      <c r="N5" s="7" t="s">
        <v>69</v>
      </c>
      <c r="O5" s="8"/>
      <c r="P5" s="8"/>
      <c r="Q5" s="9"/>
      <c r="R5" s="8"/>
    </row>
    <row r="6" spans="1:18" ht="24" x14ac:dyDescent="0.25">
      <c r="A6" s="10" t="s">
        <v>59</v>
      </c>
      <c r="B6" s="11" t="s">
        <v>80</v>
      </c>
      <c r="C6" s="10" t="s">
        <v>81</v>
      </c>
      <c r="D6" s="12"/>
      <c r="E6" s="6" t="s">
        <v>62</v>
      </c>
      <c r="F6" s="12" t="s">
        <v>82</v>
      </c>
      <c r="G6" s="12" t="s">
        <v>83</v>
      </c>
      <c r="H6" s="12" t="s">
        <v>84</v>
      </c>
      <c r="I6" s="13" t="s">
        <v>66</v>
      </c>
      <c r="J6" s="13" t="s">
        <v>67</v>
      </c>
      <c r="K6" s="13" t="s">
        <v>68</v>
      </c>
      <c r="L6" s="14"/>
      <c r="M6" s="14"/>
      <c r="N6" s="13" t="s">
        <v>69</v>
      </c>
      <c r="O6" s="14"/>
      <c r="P6" s="14"/>
      <c r="Q6" s="15"/>
      <c r="R6" s="14"/>
    </row>
    <row r="7" spans="1:18" ht="24" x14ac:dyDescent="0.25">
      <c r="A7" s="3" t="s">
        <v>59</v>
      </c>
      <c r="B7" s="4" t="s">
        <v>85</v>
      </c>
      <c r="C7" s="3" t="s">
        <v>86</v>
      </c>
      <c r="D7" s="5"/>
      <c r="E7" s="6" t="s">
        <v>62</v>
      </c>
      <c r="F7" s="5" t="s">
        <v>87</v>
      </c>
      <c r="G7" s="5" t="s">
        <v>88</v>
      </c>
      <c r="H7" s="5" t="s">
        <v>89</v>
      </c>
      <c r="I7" s="7" t="s">
        <v>66</v>
      </c>
      <c r="J7" s="7" t="s">
        <v>67</v>
      </c>
      <c r="K7" s="7" t="s">
        <v>68</v>
      </c>
      <c r="L7" s="8"/>
      <c r="M7" s="8"/>
      <c r="N7" s="7" t="s">
        <v>69</v>
      </c>
      <c r="O7" s="8"/>
      <c r="P7" s="8"/>
      <c r="Q7" s="9"/>
      <c r="R7" s="8"/>
    </row>
    <row r="8" spans="1:18" ht="24" x14ac:dyDescent="0.25">
      <c r="A8" s="10" t="s">
        <v>59</v>
      </c>
      <c r="B8" s="11" t="s">
        <v>90</v>
      </c>
      <c r="C8" s="10" t="s">
        <v>91</v>
      </c>
      <c r="D8" s="12"/>
      <c r="E8" s="6" t="s">
        <v>62</v>
      </c>
      <c r="F8" s="12" t="s">
        <v>92</v>
      </c>
      <c r="G8" s="12" t="s">
        <v>78</v>
      </c>
      <c r="H8" s="12" t="s">
        <v>93</v>
      </c>
      <c r="I8" s="13" t="s">
        <v>66</v>
      </c>
      <c r="J8" s="13" t="s">
        <v>67</v>
      </c>
      <c r="K8" s="13" t="s">
        <v>68</v>
      </c>
      <c r="L8" s="14"/>
      <c r="M8" s="14"/>
      <c r="N8" s="13" t="s">
        <v>69</v>
      </c>
      <c r="O8" s="14"/>
      <c r="P8" s="14"/>
      <c r="Q8" s="15"/>
      <c r="R8" s="14"/>
    </row>
    <row r="9" spans="1:18" x14ac:dyDescent="0.25">
      <c r="A9" s="3" t="s">
        <v>59</v>
      </c>
      <c r="B9" s="4" t="s">
        <v>94</v>
      </c>
      <c r="C9" s="3" t="s">
        <v>95</v>
      </c>
      <c r="D9" s="5"/>
      <c r="E9" s="6" t="s">
        <v>62</v>
      </c>
      <c r="F9" s="5" t="s">
        <v>96</v>
      </c>
      <c r="G9" s="5" t="s">
        <v>97</v>
      </c>
      <c r="H9" s="5" t="s">
        <v>98</v>
      </c>
      <c r="I9" s="7" t="s">
        <v>66</v>
      </c>
      <c r="J9" s="7" t="s">
        <v>67</v>
      </c>
      <c r="K9" s="7" t="s">
        <v>99</v>
      </c>
      <c r="L9" s="8"/>
      <c r="M9" s="8"/>
      <c r="N9" s="7" t="s">
        <v>69</v>
      </c>
      <c r="O9" s="8"/>
      <c r="P9" s="8"/>
      <c r="Q9" s="9"/>
      <c r="R9" s="8"/>
    </row>
    <row r="10" spans="1:18" x14ac:dyDescent="0.25">
      <c r="A10" s="10" t="s">
        <v>59</v>
      </c>
      <c r="B10" s="11" t="s">
        <v>100</v>
      </c>
      <c r="C10" s="10" t="s">
        <v>101</v>
      </c>
      <c r="D10" s="12"/>
      <c r="E10" s="6" t="s">
        <v>62</v>
      </c>
      <c r="F10" s="12" t="s">
        <v>102</v>
      </c>
      <c r="G10" s="12" t="s">
        <v>103</v>
      </c>
      <c r="H10" s="12" t="s">
        <v>104</v>
      </c>
      <c r="I10" s="13" t="s">
        <v>66</v>
      </c>
      <c r="J10" s="13" t="s">
        <v>67</v>
      </c>
      <c r="K10" s="13" t="s">
        <v>105</v>
      </c>
      <c r="L10" s="14"/>
      <c r="M10" s="14"/>
      <c r="N10" s="13" t="s">
        <v>69</v>
      </c>
      <c r="O10" s="14"/>
      <c r="P10" s="14"/>
      <c r="Q10" s="15"/>
      <c r="R10" s="14"/>
    </row>
    <row r="11" spans="1:18" x14ac:dyDescent="0.25">
      <c r="A11" s="3" t="s">
        <v>59</v>
      </c>
      <c r="B11" s="4" t="s">
        <v>106</v>
      </c>
      <c r="C11" s="3" t="s">
        <v>107</v>
      </c>
      <c r="D11" s="5"/>
      <c r="E11" s="6" t="s">
        <v>108</v>
      </c>
      <c r="F11" s="5" t="s">
        <v>109</v>
      </c>
      <c r="G11" s="5" t="s">
        <v>78</v>
      </c>
      <c r="H11" s="5" t="s">
        <v>110</v>
      </c>
      <c r="I11" s="7" t="s">
        <v>66</v>
      </c>
      <c r="J11" s="7" t="s">
        <v>67</v>
      </c>
      <c r="K11" s="7" t="s">
        <v>105</v>
      </c>
      <c r="L11" s="8"/>
      <c r="M11" s="8"/>
      <c r="N11" s="7" t="s">
        <v>69</v>
      </c>
      <c r="O11" s="8"/>
      <c r="P11" s="8"/>
      <c r="Q11" s="9"/>
      <c r="R11" s="8"/>
    </row>
    <row r="12" spans="1:18" ht="24" x14ac:dyDescent="0.25">
      <c r="A12" s="10" t="s">
        <v>59</v>
      </c>
      <c r="B12" s="11" t="s">
        <v>111</v>
      </c>
      <c r="C12" s="10" t="s">
        <v>112</v>
      </c>
      <c r="D12" s="12"/>
      <c r="E12" s="6" t="s">
        <v>62</v>
      </c>
      <c r="F12" s="12" t="s">
        <v>113</v>
      </c>
      <c r="G12" s="12" t="s">
        <v>78</v>
      </c>
      <c r="H12" s="12" t="s">
        <v>114</v>
      </c>
      <c r="I12" s="13" t="s">
        <v>66</v>
      </c>
      <c r="J12" s="13" t="s">
        <v>67</v>
      </c>
      <c r="K12" s="13" t="s">
        <v>105</v>
      </c>
      <c r="L12" s="14"/>
      <c r="M12" s="14"/>
      <c r="N12" s="13" t="s">
        <v>69</v>
      </c>
      <c r="O12" s="14"/>
      <c r="P12" s="14"/>
      <c r="Q12" s="15"/>
      <c r="R12" s="14"/>
    </row>
    <row r="13" spans="1:18" x14ac:dyDescent="0.25">
      <c r="A13" s="3" t="s">
        <v>59</v>
      </c>
      <c r="B13" s="4" t="s">
        <v>115</v>
      </c>
      <c r="C13" s="3" t="s">
        <v>116</v>
      </c>
      <c r="D13" s="5"/>
      <c r="E13" s="6" t="s">
        <v>62</v>
      </c>
      <c r="F13" s="5" t="s">
        <v>117</v>
      </c>
      <c r="G13" s="5" t="s">
        <v>118</v>
      </c>
      <c r="H13" s="5" t="s">
        <v>119</v>
      </c>
      <c r="I13" s="7" t="s">
        <v>66</v>
      </c>
      <c r="J13" s="7" t="s">
        <v>67</v>
      </c>
      <c r="K13" s="7" t="s">
        <v>99</v>
      </c>
      <c r="L13" s="8"/>
      <c r="M13" s="8"/>
      <c r="N13" s="7" t="s">
        <v>69</v>
      </c>
      <c r="O13" s="8"/>
      <c r="P13" s="8"/>
      <c r="Q13" s="9"/>
      <c r="R13" s="8"/>
    </row>
    <row r="14" spans="1:18" ht="24" x14ac:dyDescent="0.25">
      <c r="A14" s="10" t="s">
        <v>59</v>
      </c>
      <c r="B14" s="11" t="s">
        <v>120</v>
      </c>
      <c r="C14" s="10" t="s">
        <v>121</v>
      </c>
      <c r="D14" s="12"/>
      <c r="E14" s="6" t="s">
        <v>62</v>
      </c>
      <c r="F14" s="12" t="s">
        <v>122</v>
      </c>
      <c r="G14" s="12" t="s">
        <v>78</v>
      </c>
      <c r="H14" s="12" t="s">
        <v>123</v>
      </c>
      <c r="I14" s="13" t="s">
        <v>66</v>
      </c>
      <c r="J14" s="13" t="s">
        <v>67</v>
      </c>
      <c r="K14" s="13" t="s">
        <v>99</v>
      </c>
      <c r="L14" s="14"/>
      <c r="M14" s="14"/>
      <c r="N14" s="13" t="s">
        <v>69</v>
      </c>
      <c r="O14" s="14"/>
      <c r="P14" s="14"/>
      <c r="Q14" s="15"/>
      <c r="R14" s="14"/>
    </row>
    <row r="15" spans="1:18" ht="25.5" x14ac:dyDescent="0.25">
      <c r="A15" s="3" t="s">
        <v>59</v>
      </c>
      <c r="B15" s="4" t="s">
        <v>124</v>
      </c>
      <c r="C15" s="3" t="s">
        <v>125</v>
      </c>
      <c r="D15" s="5"/>
      <c r="E15" s="6" t="s">
        <v>62</v>
      </c>
      <c r="F15" s="5" t="s">
        <v>126</v>
      </c>
      <c r="G15" s="5" t="s">
        <v>78</v>
      </c>
      <c r="H15" s="5" t="s">
        <v>127</v>
      </c>
      <c r="I15" s="7" t="s">
        <v>66</v>
      </c>
      <c r="J15" s="7" t="s">
        <v>67</v>
      </c>
      <c r="K15" s="7" t="s">
        <v>105</v>
      </c>
      <c r="L15" s="8"/>
      <c r="M15" s="8"/>
      <c r="N15" s="7" t="s">
        <v>69</v>
      </c>
      <c r="O15" s="8"/>
      <c r="P15" s="8"/>
      <c r="Q15" s="9"/>
      <c r="R15" s="8"/>
    </row>
    <row r="16" spans="1:18" ht="25.5" x14ac:dyDescent="0.25">
      <c r="A16" s="10" t="s">
        <v>59</v>
      </c>
      <c r="B16" s="11" t="s">
        <v>128</v>
      </c>
      <c r="C16" s="10" t="s">
        <v>129</v>
      </c>
      <c r="D16" s="12"/>
      <c r="E16" s="6" t="s">
        <v>62</v>
      </c>
      <c r="F16" s="12" t="s">
        <v>130</v>
      </c>
      <c r="G16" s="12" t="s">
        <v>78</v>
      </c>
      <c r="H16" s="12" t="s">
        <v>131</v>
      </c>
      <c r="I16" s="13" t="s">
        <v>66</v>
      </c>
      <c r="J16" s="13" t="s">
        <v>67</v>
      </c>
      <c r="K16" s="13" t="s">
        <v>105</v>
      </c>
      <c r="L16" s="14"/>
      <c r="M16" s="14"/>
      <c r="N16" s="13" t="s">
        <v>69</v>
      </c>
      <c r="O16" s="14"/>
      <c r="P16" s="14"/>
      <c r="Q16" s="15"/>
      <c r="R16" s="14"/>
    </row>
    <row r="17" spans="1:18" x14ac:dyDescent="0.25">
      <c r="A17" s="3" t="s">
        <v>59</v>
      </c>
      <c r="B17" s="4" t="s">
        <v>132</v>
      </c>
      <c r="C17" s="3" t="s">
        <v>133</v>
      </c>
      <c r="D17" s="5"/>
      <c r="E17" s="6" t="s">
        <v>108</v>
      </c>
      <c r="F17" s="5" t="s">
        <v>134</v>
      </c>
      <c r="G17" s="5" t="s">
        <v>135</v>
      </c>
      <c r="H17" s="5" t="s">
        <v>136</v>
      </c>
      <c r="I17" s="7" t="s">
        <v>66</v>
      </c>
      <c r="J17" s="7" t="s">
        <v>67</v>
      </c>
      <c r="K17" s="7" t="s">
        <v>105</v>
      </c>
      <c r="L17" s="8"/>
      <c r="M17" s="8"/>
      <c r="N17" s="7" t="s">
        <v>69</v>
      </c>
      <c r="O17" s="8"/>
      <c r="P17" s="8"/>
      <c r="Q17" s="9"/>
      <c r="R17" s="8"/>
    </row>
    <row r="18" spans="1:18" x14ac:dyDescent="0.25">
      <c r="A18" s="10" t="s">
        <v>59</v>
      </c>
      <c r="B18" s="11" t="s">
        <v>137</v>
      </c>
      <c r="C18" s="10" t="s">
        <v>138</v>
      </c>
      <c r="D18" s="12"/>
      <c r="E18" s="6" t="s">
        <v>62</v>
      </c>
      <c r="F18" s="12" t="s">
        <v>139</v>
      </c>
      <c r="G18" s="12" t="s">
        <v>135</v>
      </c>
      <c r="H18" s="12" t="s">
        <v>140</v>
      </c>
      <c r="I18" s="13" t="s">
        <v>66</v>
      </c>
      <c r="J18" s="13" t="s">
        <v>67</v>
      </c>
      <c r="K18" s="13" t="s">
        <v>99</v>
      </c>
      <c r="L18" s="14"/>
      <c r="M18" s="14"/>
      <c r="N18" s="13" t="s">
        <v>69</v>
      </c>
      <c r="O18" s="14"/>
      <c r="P18" s="14"/>
      <c r="Q18" s="15"/>
      <c r="R18" s="14"/>
    </row>
    <row r="19" spans="1:18" ht="24" x14ac:dyDescent="0.25">
      <c r="A19" s="3" t="s">
        <v>59</v>
      </c>
      <c r="B19" s="4" t="s">
        <v>141</v>
      </c>
      <c r="C19" s="3" t="s">
        <v>142</v>
      </c>
      <c r="D19" s="5"/>
      <c r="E19" s="6" t="s">
        <v>62</v>
      </c>
      <c r="F19" s="5" t="s">
        <v>143</v>
      </c>
      <c r="G19" s="5" t="s">
        <v>144</v>
      </c>
      <c r="H19" s="5" t="s">
        <v>145</v>
      </c>
      <c r="I19" s="7" t="s">
        <v>66</v>
      </c>
      <c r="J19" s="7" t="s">
        <v>67</v>
      </c>
      <c r="K19" s="7" t="s">
        <v>68</v>
      </c>
      <c r="L19" s="8"/>
      <c r="M19" s="8"/>
      <c r="N19" s="7" t="s">
        <v>69</v>
      </c>
      <c r="O19" s="8"/>
      <c r="P19" s="8"/>
      <c r="Q19" s="9"/>
      <c r="R19" s="8"/>
    </row>
    <row r="20" spans="1:18" x14ac:dyDescent="0.25">
      <c r="A20" s="10" t="s">
        <v>59</v>
      </c>
      <c r="B20" s="11" t="s">
        <v>146</v>
      </c>
      <c r="C20" s="10" t="s">
        <v>147</v>
      </c>
      <c r="D20" s="12"/>
      <c r="E20" s="6" t="s">
        <v>108</v>
      </c>
      <c r="F20" s="12" t="s">
        <v>148</v>
      </c>
      <c r="G20" s="12" t="s">
        <v>149</v>
      </c>
      <c r="H20" s="12" t="s">
        <v>150</v>
      </c>
      <c r="I20" s="13" t="s">
        <v>66</v>
      </c>
      <c r="J20" s="13" t="s">
        <v>67</v>
      </c>
      <c r="K20" s="13" t="s">
        <v>99</v>
      </c>
      <c r="L20" s="14"/>
      <c r="M20" s="14"/>
      <c r="N20" s="13" t="s">
        <v>69</v>
      </c>
      <c r="O20" s="14"/>
      <c r="P20" s="14"/>
      <c r="Q20" s="15"/>
      <c r="R20" s="14"/>
    </row>
    <row r="21" spans="1:18" ht="24" x14ac:dyDescent="0.25">
      <c r="A21" s="3" t="s">
        <v>59</v>
      </c>
      <c r="B21" s="4" t="s">
        <v>151</v>
      </c>
      <c r="C21" s="3" t="s">
        <v>152</v>
      </c>
      <c r="D21" s="5"/>
      <c r="E21" s="6" t="s">
        <v>62</v>
      </c>
      <c r="F21" s="5" t="s">
        <v>153</v>
      </c>
      <c r="G21" s="5" t="s">
        <v>154</v>
      </c>
      <c r="H21" s="5" t="s">
        <v>155</v>
      </c>
      <c r="I21" s="7" t="s">
        <v>66</v>
      </c>
      <c r="J21" s="7" t="s">
        <v>67</v>
      </c>
      <c r="K21" s="7" t="s">
        <v>99</v>
      </c>
      <c r="L21" s="8"/>
      <c r="M21" s="8"/>
      <c r="N21" s="7" t="s">
        <v>69</v>
      </c>
      <c r="O21" s="8"/>
      <c r="P21" s="8"/>
      <c r="Q21" s="9"/>
      <c r="R21" s="8"/>
    </row>
    <row r="22" spans="1:18" x14ac:dyDescent="0.25">
      <c r="A22" s="10" t="s">
        <v>59</v>
      </c>
      <c r="B22" s="11" t="s">
        <v>156</v>
      </c>
      <c r="C22" s="10" t="s">
        <v>157</v>
      </c>
      <c r="D22" s="12"/>
      <c r="E22" s="6" t="s">
        <v>62</v>
      </c>
      <c r="F22" s="12" t="s">
        <v>158</v>
      </c>
      <c r="G22" s="12" t="s">
        <v>159</v>
      </c>
      <c r="H22" s="12" t="s">
        <v>160</v>
      </c>
      <c r="I22" s="13" t="s">
        <v>66</v>
      </c>
      <c r="J22" s="13" t="s">
        <v>67</v>
      </c>
      <c r="K22" s="13" t="s">
        <v>68</v>
      </c>
      <c r="L22" s="14"/>
      <c r="M22" s="14"/>
      <c r="N22" s="13" t="s">
        <v>69</v>
      </c>
      <c r="O22" s="14"/>
      <c r="P22" s="14"/>
      <c r="Q22" s="15"/>
      <c r="R22" s="14"/>
    </row>
    <row r="23" spans="1:18" ht="24" x14ac:dyDescent="0.25">
      <c r="A23" s="3" t="s">
        <v>59</v>
      </c>
      <c r="B23" s="4" t="s">
        <v>161</v>
      </c>
      <c r="C23" s="3" t="s">
        <v>162</v>
      </c>
      <c r="D23" s="5"/>
      <c r="E23" s="6" t="s">
        <v>62</v>
      </c>
      <c r="F23" s="5" t="s">
        <v>163</v>
      </c>
      <c r="G23" s="5" t="s">
        <v>164</v>
      </c>
      <c r="H23" s="5" t="s">
        <v>165</v>
      </c>
      <c r="I23" s="7" t="s">
        <v>66</v>
      </c>
      <c r="J23" s="7" t="s">
        <v>67</v>
      </c>
      <c r="K23" s="7" t="s">
        <v>99</v>
      </c>
      <c r="L23" s="8"/>
      <c r="M23" s="8"/>
      <c r="N23" s="7" t="s">
        <v>69</v>
      </c>
      <c r="O23" s="8"/>
      <c r="P23" s="8"/>
      <c r="Q23" s="9"/>
      <c r="R23" s="8"/>
    </row>
    <row r="24" spans="1:18" ht="24" x14ac:dyDescent="0.25">
      <c r="A24" s="10" t="s">
        <v>59</v>
      </c>
      <c r="B24" s="11" t="s">
        <v>166</v>
      </c>
      <c r="C24" s="10" t="s">
        <v>167</v>
      </c>
      <c r="D24" s="12"/>
      <c r="E24" s="6" t="s">
        <v>62</v>
      </c>
      <c r="F24" s="12" t="s">
        <v>168</v>
      </c>
      <c r="G24" s="12" t="s">
        <v>103</v>
      </c>
      <c r="H24" s="12" t="s">
        <v>169</v>
      </c>
      <c r="I24" s="13" t="s">
        <v>66</v>
      </c>
      <c r="J24" s="13" t="s">
        <v>67</v>
      </c>
      <c r="K24" s="13" t="s">
        <v>105</v>
      </c>
      <c r="L24" s="14"/>
      <c r="M24" s="14"/>
      <c r="N24" s="13" t="s">
        <v>69</v>
      </c>
      <c r="O24" s="14"/>
      <c r="P24" s="14"/>
      <c r="Q24" s="15"/>
      <c r="R24" s="14"/>
    </row>
    <row r="25" spans="1:18" ht="24" x14ac:dyDescent="0.25">
      <c r="A25" s="3" t="s">
        <v>59</v>
      </c>
      <c r="B25" s="4" t="s">
        <v>170</v>
      </c>
      <c r="C25" s="3" t="s">
        <v>171</v>
      </c>
      <c r="D25" s="5"/>
      <c r="E25" s="6" t="s">
        <v>62</v>
      </c>
      <c r="F25" s="5" t="s">
        <v>172</v>
      </c>
      <c r="G25" s="5" t="s">
        <v>173</v>
      </c>
      <c r="H25" s="5" t="s">
        <v>174</v>
      </c>
      <c r="I25" s="7" t="s">
        <v>66</v>
      </c>
      <c r="J25" s="7" t="s">
        <v>67</v>
      </c>
      <c r="K25" s="7" t="s">
        <v>99</v>
      </c>
      <c r="L25" s="8"/>
      <c r="M25" s="8"/>
      <c r="N25" s="7" t="s">
        <v>69</v>
      </c>
      <c r="O25" s="8"/>
      <c r="P25" s="8"/>
      <c r="Q25" s="9"/>
      <c r="R25" s="8"/>
    </row>
    <row r="26" spans="1:18" ht="24" x14ac:dyDescent="0.25">
      <c r="A26" s="10" t="s">
        <v>59</v>
      </c>
      <c r="B26" s="11" t="s">
        <v>175</v>
      </c>
      <c r="C26" s="10" t="s">
        <v>176</v>
      </c>
      <c r="D26" s="12"/>
      <c r="E26" s="6" t="s">
        <v>62</v>
      </c>
      <c r="F26" s="12" t="s">
        <v>177</v>
      </c>
      <c r="G26" s="12" t="s">
        <v>78</v>
      </c>
      <c r="H26" s="12" t="s">
        <v>178</v>
      </c>
      <c r="I26" s="13" t="s">
        <v>66</v>
      </c>
      <c r="J26" s="13" t="s">
        <v>67</v>
      </c>
      <c r="K26" s="13" t="s">
        <v>99</v>
      </c>
      <c r="L26" s="14"/>
      <c r="M26" s="14"/>
      <c r="N26" s="13" t="s">
        <v>69</v>
      </c>
      <c r="O26" s="14"/>
      <c r="P26" s="14"/>
      <c r="Q26" s="15"/>
      <c r="R26" s="14"/>
    </row>
    <row r="27" spans="1:18" ht="24" x14ac:dyDescent="0.25">
      <c r="A27" s="3" t="s">
        <v>59</v>
      </c>
      <c r="B27" s="4" t="s">
        <v>179</v>
      </c>
      <c r="C27" s="3" t="s">
        <v>180</v>
      </c>
      <c r="D27" s="5"/>
      <c r="E27" s="6" t="s">
        <v>62</v>
      </c>
      <c r="F27" s="5" t="s">
        <v>181</v>
      </c>
      <c r="G27" s="5" t="s">
        <v>182</v>
      </c>
      <c r="H27" s="5" t="s">
        <v>183</v>
      </c>
      <c r="I27" s="7" t="s">
        <v>66</v>
      </c>
      <c r="J27" s="7" t="s">
        <v>67</v>
      </c>
      <c r="K27" s="7" t="s">
        <v>99</v>
      </c>
      <c r="L27" s="8"/>
      <c r="M27" s="8"/>
      <c r="N27" s="7" t="s">
        <v>69</v>
      </c>
      <c r="O27" s="8"/>
      <c r="P27" s="8"/>
      <c r="Q27" s="9"/>
      <c r="R27" s="8"/>
    </row>
    <row r="28" spans="1:18" x14ac:dyDescent="0.25">
      <c r="A28" s="10" t="s">
        <v>184</v>
      </c>
      <c r="B28" s="11" t="s">
        <v>185</v>
      </c>
      <c r="C28" s="10" t="s">
        <v>61</v>
      </c>
      <c r="D28" s="12"/>
      <c r="E28" s="6" t="s">
        <v>62</v>
      </c>
      <c r="F28" s="12" t="s">
        <v>186</v>
      </c>
      <c r="G28" s="12" t="s">
        <v>187</v>
      </c>
      <c r="H28" s="12" t="s">
        <v>188</v>
      </c>
      <c r="I28" s="13" t="s">
        <v>66</v>
      </c>
      <c r="J28" s="13" t="s">
        <v>67</v>
      </c>
      <c r="K28" s="13" t="s">
        <v>99</v>
      </c>
      <c r="L28" s="14"/>
      <c r="M28" s="14"/>
      <c r="N28" s="13" t="s">
        <v>69</v>
      </c>
      <c r="O28" s="14"/>
      <c r="P28" s="14"/>
      <c r="Q28" s="15"/>
      <c r="R28" s="14"/>
    </row>
    <row r="29" spans="1:18" ht="24" x14ac:dyDescent="0.25">
      <c r="A29" s="3" t="s">
        <v>184</v>
      </c>
      <c r="B29" s="4" t="s">
        <v>189</v>
      </c>
      <c r="C29" s="3" t="s">
        <v>190</v>
      </c>
      <c r="D29" s="5"/>
      <c r="E29" s="6" t="s">
        <v>62</v>
      </c>
      <c r="F29" s="5" t="s">
        <v>191</v>
      </c>
      <c r="G29" s="5" t="s">
        <v>187</v>
      </c>
      <c r="H29" s="5" t="s">
        <v>192</v>
      </c>
      <c r="I29" s="7" t="s">
        <v>66</v>
      </c>
      <c r="J29" s="7" t="s">
        <v>67</v>
      </c>
      <c r="K29" s="7" t="s">
        <v>99</v>
      </c>
      <c r="L29" s="8"/>
      <c r="M29" s="8"/>
      <c r="N29" s="7" t="s">
        <v>69</v>
      </c>
      <c r="O29" s="8"/>
      <c r="P29" s="8"/>
      <c r="Q29" s="9"/>
      <c r="R29" s="8"/>
    </row>
    <row r="30" spans="1:18" ht="24" x14ac:dyDescent="0.25">
      <c r="A30" s="10" t="s">
        <v>184</v>
      </c>
      <c r="B30" s="11" t="s">
        <v>193</v>
      </c>
      <c r="C30" s="10" t="s">
        <v>194</v>
      </c>
      <c r="D30" s="12"/>
      <c r="E30" s="6" t="s">
        <v>62</v>
      </c>
      <c r="F30" s="12" t="s">
        <v>195</v>
      </c>
      <c r="G30" s="12" t="s">
        <v>196</v>
      </c>
      <c r="H30" s="12" t="s">
        <v>197</v>
      </c>
      <c r="I30" s="13" t="s">
        <v>66</v>
      </c>
      <c r="J30" s="13" t="s">
        <v>67</v>
      </c>
      <c r="K30" s="13" t="s">
        <v>99</v>
      </c>
      <c r="L30" s="14"/>
      <c r="M30" s="14"/>
      <c r="N30" s="13" t="s">
        <v>69</v>
      </c>
      <c r="O30" s="14"/>
      <c r="P30" s="14"/>
      <c r="Q30" s="15"/>
      <c r="R30" s="14"/>
    </row>
    <row r="31" spans="1:18" x14ac:dyDescent="0.25">
      <c r="A31" s="3" t="s">
        <v>184</v>
      </c>
      <c r="B31" s="4" t="s">
        <v>198</v>
      </c>
      <c r="C31" s="3" t="s">
        <v>199</v>
      </c>
      <c r="D31" s="5"/>
      <c r="E31" s="6" t="s">
        <v>62</v>
      </c>
      <c r="F31" s="5" t="s">
        <v>200</v>
      </c>
      <c r="G31" s="5" t="s">
        <v>187</v>
      </c>
      <c r="H31" s="5" t="s">
        <v>201</v>
      </c>
      <c r="I31" s="7" t="s">
        <v>66</v>
      </c>
      <c r="J31" s="7" t="s">
        <v>67</v>
      </c>
      <c r="K31" s="7" t="s">
        <v>105</v>
      </c>
      <c r="L31" s="8"/>
      <c r="M31" s="8"/>
      <c r="N31" s="7" t="s">
        <v>69</v>
      </c>
      <c r="O31" s="8"/>
      <c r="P31" s="8"/>
      <c r="Q31" s="9"/>
      <c r="R31" s="8"/>
    </row>
    <row r="32" spans="1:18" ht="25.5" x14ac:dyDescent="0.25">
      <c r="A32" s="10" t="s">
        <v>184</v>
      </c>
      <c r="B32" s="11" t="s">
        <v>202</v>
      </c>
      <c r="C32" s="10" t="s">
        <v>203</v>
      </c>
      <c r="D32" s="12"/>
      <c r="E32" s="6" t="s">
        <v>62</v>
      </c>
      <c r="F32" s="12" t="s">
        <v>204</v>
      </c>
      <c r="G32" s="12" t="s">
        <v>205</v>
      </c>
      <c r="H32" s="12" t="s">
        <v>206</v>
      </c>
      <c r="I32" s="13" t="s">
        <v>66</v>
      </c>
      <c r="J32" s="13" t="s">
        <v>67</v>
      </c>
      <c r="K32" s="13" t="s">
        <v>105</v>
      </c>
      <c r="L32" s="14"/>
      <c r="M32" s="14"/>
      <c r="N32" s="13" t="s">
        <v>69</v>
      </c>
      <c r="O32" s="14"/>
      <c r="P32" s="14"/>
      <c r="Q32" s="15"/>
      <c r="R32" s="14"/>
    </row>
    <row r="33" spans="1:18" ht="24" x14ac:dyDescent="0.25">
      <c r="A33" s="3" t="s">
        <v>184</v>
      </c>
      <c r="B33" s="4" t="s">
        <v>207</v>
      </c>
      <c r="C33" s="3" t="s">
        <v>208</v>
      </c>
      <c r="D33" s="5"/>
      <c r="E33" s="6" t="s">
        <v>62</v>
      </c>
      <c r="F33" s="5" t="s">
        <v>209</v>
      </c>
      <c r="G33" s="5" t="s">
        <v>187</v>
      </c>
      <c r="H33" s="5" t="s">
        <v>210</v>
      </c>
      <c r="I33" s="7" t="s">
        <v>66</v>
      </c>
      <c r="J33" s="7" t="s">
        <v>67</v>
      </c>
      <c r="K33" s="7" t="s">
        <v>105</v>
      </c>
      <c r="L33" s="8"/>
      <c r="M33" s="8"/>
      <c r="N33" s="7" t="s">
        <v>69</v>
      </c>
      <c r="O33" s="8"/>
      <c r="P33" s="8"/>
      <c r="Q33" s="9"/>
      <c r="R33" s="8"/>
    </row>
    <row r="34" spans="1:18" x14ac:dyDescent="0.25">
      <c r="A34" s="10" t="s">
        <v>211</v>
      </c>
      <c r="B34" s="11" t="s">
        <v>212</v>
      </c>
      <c r="C34" s="10" t="s">
        <v>61</v>
      </c>
      <c r="D34" s="12"/>
      <c r="E34" s="6" t="s">
        <v>62</v>
      </c>
      <c r="F34" s="12" t="s">
        <v>213</v>
      </c>
      <c r="G34" s="12" t="s">
        <v>214</v>
      </c>
      <c r="H34" s="12" t="s">
        <v>215</v>
      </c>
      <c r="I34" s="13" t="s">
        <v>66</v>
      </c>
      <c r="J34" s="13" t="s">
        <v>67</v>
      </c>
      <c r="K34" s="13" t="s">
        <v>99</v>
      </c>
      <c r="L34" s="14"/>
      <c r="M34" s="14"/>
      <c r="N34" s="13" t="s">
        <v>69</v>
      </c>
      <c r="O34" s="14"/>
      <c r="P34" s="14"/>
      <c r="Q34" s="15"/>
      <c r="R34" s="14"/>
    </row>
    <row r="35" spans="1:18" ht="24" x14ac:dyDescent="0.25">
      <c r="A35" s="3" t="s">
        <v>211</v>
      </c>
      <c r="B35" s="4" t="s">
        <v>216</v>
      </c>
      <c r="C35" s="3" t="s">
        <v>217</v>
      </c>
      <c r="D35" s="5"/>
      <c r="E35" s="6" t="s">
        <v>62</v>
      </c>
      <c r="F35" s="5" t="s">
        <v>218</v>
      </c>
      <c r="G35" s="5" t="s">
        <v>214</v>
      </c>
      <c r="H35" s="5" t="s">
        <v>219</v>
      </c>
      <c r="I35" s="7" t="s">
        <v>66</v>
      </c>
      <c r="J35" s="7" t="s">
        <v>67</v>
      </c>
      <c r="K35" s="7" t="s">
        <v>68</v>
      </c>
      <c r="L35" s="8"/>
      <c r="M35" s="8"/>
      <c r="N35" s="7" t="s">
        <v>69</v>
      </c>
      <c r="O35" s="8"/>
      <c r="P35" s="8"/>
      <c r="Q35" s="9"/>
      <c r="R35" s="8"/>
    </row>
    <row r="36" spans="1:18" ht="24" x14ac:dyDescent="0.25">
      <c r="A36" s="10" t="s">
        <v>211</v>
      </c>
      <c r="B36" s="11" t="s">
        <v>220</v>
      </c>
      <c r="C36" s="10" t="s">
        <v>221</v>
      </c>
      <c r="D36" s="12"/>
      <c r="E36" s="6" t="s">
        <v>62</v>
      </c>
      <c r="F36" s="12" t="s">
        <v>222</v>
      </c>
      <c r="G36" s="12" t="s">
        <v>214</v>
      </c>
      <c r="H36" s="12" t="s">
        <v>223</v>
      </c>
      <c r="I36" s="13" t="s">
        <v>66</v>
      </c>
      <c r="J36" s="13" t="s">
        <v>67</v>
      </c>
      <c r="K36" s="13" t="s">
        <v>99</v>
      </c>
      <c r="L36" s="14"/>
      <c r="M36" s="14"/>
      <c r="N36" s="13" t="s">
        <v>69</v>
      </c>
      <c r="O36" s="14"/>
      <c r="P36" s="14"/>
      <c r="Q36" s="15"/>
      <c r="R36" s="14"/>
    </row>
    <row r="37" spans="1:18" ht="24" x14ac:dyDescent="0.25">
      <c r="A37" s="3" t="s">
        <v>211</v>
      </c>
      <c r="B37" s="4" t="s">
        <v>224</v>
      </c>
      <c r="C37" s="3" t="s">
        <v>225</v>
      </c>
      <c r="D37" s="5"/>
      <c r="E37" s="6" t="s">
        <v>62</v>
      </c>
      <c r="F37" s="5" t="s">
        <v>226</v>
      </c>
      <c r="G37" s="5" t="s">
        <v>214</v>
      </c>
      <c r="H37" s="5" t="s">
        <v>227</v>
      </c>
      <c r="I37" s="7" t="s">
        <v>66</v>
      </c>
      <c r="J37" s="7" t="s">
        <v>67</v>
      </c>
      <c r="K37" s="7" t="s">
        <v>99</v>
      </c>
      <c r="L37" s="8"/>
      <c r="M37" s="8"/>
      <c r="N37" s="7" t="s">
        <v>69</v>
      </c>
      <c r="O37" s="8"/>
      <c r="P37" s="8"/>
      <c r="Q37" s="9"/>
      <c r="R37" s="8"/>
    </row>
    <row r="38" spans="1:18" ht="25.5" x14ac:dyDescent="0.25">
      <c r="A38" s="10" t="s">
        <v>211</v>
      </c>
      <c r="B38" s="11" t="s">
        <v>228</v>
      </c>
      <c r="C38" s="10" t="s">
        <v>229</v>
      </c>
      <c r="D38" s="12"/>
      <c r="E38" s="6" t="s">
        <v>62</v>
      </c>
      <c r="F38" s="12" t="s">
        <v>230</v>
      </c>
      <c r="G38" s="12" t="s">
        <v>231</v>
      </c>
      <c r="H38" s="12" t="s">
        <v>232</v>
      </c>
      <c r="I38" s="13" t="s">
        <v>66</v>
      </c>
      <c r="J38" s="13" t="s">
        <v>67</v>
      </c>
      <c r="K38" s="13" t="s">
        <v>68</v>
      </c>
      <c r="L38" s="14"/>
      <c r="M38" s="14"/>
      <c r="N38" s="13" t="s">
        <v>69</v>
      </c>
      <c r="O38" s="14"/>
      <c r="P38" s="14"/>
      <c r="Q38" s="15"/>
      <c r="R38" s="14"/>
    </row>
    <row r="39" spans="1:18" ht="25.5" x14ac:dyDescent="0.25">
      <c r="A39" s="3" t="s">
        <v>211</v>
      </c>
      <c r="B39" s="4" t="s">
        <v>233</v>
      </c>
      <c r="C39" s="3" t="s">
        <v>234</v>
      </c>
      <c r="D39" s="5"/>
      <c r="E39" s="6" t="s">
        <v>62</v>
      </c>
      <c r="F39" s="5" t="s">
        <v>235</v>
      </c>
      <c r="G39" s="5" t="s">
        <v>236</v>
      </c>
      <c r="H39" s="5" t="s">
        <v>237</v>
      </c>
      <c r="I39" s="7" t="s">
        <v>66</v>
      </c>
      <c r="J39" s="7" t="s">
        <v>67</v>
      </c>
      <c r="K39" s="7" t="s">
        <v>68</v>
      </c>
      <c r="L39" s="8"/>
      <c r="M39" s="8"/>
      <c r="N39" s="7" t="s">
        <v>69</v>
      </c>
      <c r="O39" s="8"/>
      <c r="P39" s="8"/>
      <c r="Q39" s="9"/>
      <c r="R39" s="8"/>
    </row>
    <row r="40" spans="1:18" ht="25.5" x14ac:dyDescent="0.25">
      <c r="A40" s="10" t="s">
        <v>211</v>
      </c>
      <c r="B40" s="11" t="s">
        <v>238</v>
      </c>
      <c r="C40" s="10" t="s">
        <v>239</v>
      </c>
      <c r="D40" s="12"/>
      <c r="E40" s="6" t="s">
        <v>62</v>
      </c>
      <c r="F40" s="12" t="s">
        <v>240</v>
      </c>
      <c r="G40" s="12" t="s">
        <v>214</v>
      </c>
      <c r="H40" s="12" t="s">
        <v>241</v>
      </c>
      <c r="I40" s="13" t="s">
        <v>66</v>
      </c>
      <c r="J40" s="13" t="s">
        <v>67</v>
      </c>
      <c r="K40" s="13" t="s">
        <v>99</v>
      </c>
      <c r="L40" s="14"/>
      <c r="M40" s="14"/>
      <c r="N40" s="13" t="s">
        <v>69</v>
      </c>
      <c r="O40" s="14"/>
      <c r="P40" s="14"/>
      <c r="Q40" s="15"/>
      <c r="R40" s="14"/>
    </row>
    <row r="41" spans="1:18" x14ac:dyDescent="0.25">
      <c r="A41" s="3" t="s">
        <v>211</v>
      </c>
      <c r="B41" s="4" t="s">
        <v>242</v>
      </c>
      <c r="C41" s="3" t="s">
        <v>243</v>
      </c>
      <c r="D41" s="5"/>
      <c r="E41" s="6" t="s">
        <v>62</v>
      </c>
      <c r="F41" s="5" t="s">
        <v>244</v>
      </c>
      <c r="G41" s="5" t="s">
        <v>214</v>
      </c>
      <c r="H41" s="5" t="s">
        <v>245</v>
      </c>
      <c r="I41" s="7" t="s">
        <v>66</v>
      </c>
      <c r="J41" s="7" t="s">
        <v>67</v>
      </c>
      <c r="K41" s="7" t="s">
        <v>99</v>
      </c>
      <c r="L41" s="8"/>
      <c r="M41" s="8"/>
      <c r="N41" s="7" t="s">
        <v>69</v>
      </c>
      <c r="O41" s="8"/>
      <c r="P41" s="8"/>
      <c r="Q41" s="9"/>
      <c r="R41" s="8"/>
    </row>
    <row r="42" spans="1:18" ht="24" x14ac:dyDescent="0.25">
      <c r="A42" s="10" t="s">
        <v>211</v>
      </c>
      <c r="B42" s="11" t="s">
        <v>246</v>
      </c>
      <c r="C42" s="10" t="s">
        <v>247</v>
      </c>
      <c r="D42" s="12"/>
      <c r="E42" s="6" t="s">
        <v>62</v>
      </c>
      <c r="F42" s="12" t="s">
        <v>248</v>
      </c>
      <c r="G42" s="12" t="s">
        <v>214</v>
      </c>
      <c r="H42" s="12" t="s">
        <v>249</v>
      </c>
      <c r="I42" s="13" t="s">
        <v>66</v>
      </c>
      <c r="J42" s="13" t="s">
        <v>67</v>
      </c>
      <c r="K42" s="13" t="s">
        <v>68</v>
      </c>
      <c r="L42" s="14"/>
      <c r="M42" s="14"/>
      <c r="N42" s="13" t="s">
        <v>69</v>
      </c>
      <c r="O42" s="14"/>
      <c r="P42" s="14"/>
      <c r="Q42" s="15"/>
      <c r="R42" s="14"/>
    </row>
    <row r="43" spans="1:18" ht="24" x14ac:dyDescent="0.25">
      <c r="A43" s="3" t="s">
        <v>211</v>
      </c>
      <c r="B43" s="4" t="s">
        <v>250</v>
      </c>
      <c r="C43" s="3" t="s">
        <v>251</v>
      </c>
      <c r="D43" s="5"/>
      <c r="E43" s="6" t="s">
        <v>62</v>
      </c>
      <c r="F43" s="5" t="s">
        <v>252</v>
      </c>
      <c r="G43" s="5" t="s">
        <v>253</v>
      </c>
      <c r="H43" s="5" t="s">
        <v>254</v>
      </c>
      <c r="I43" s="7" t="s">
        <v>66</v>
      </c>
      <c r="J43" s="7" t="s">
        <v>67</v>
      </c>
      <c r="K43" s="7" t="s">
        <v>68</v>
      </c>
      <c r="L43" s="8"/>
      <c r="M43" s="8"/>
      <c r="N43" s="7" t="s">
        <v>69</v>
      </c>
      <c r="O43" s="8"/>
      <c r="P43" s="8"/>
      <c r="Q43" s="9"/>
      <c r="R43" s="8"/>
    </row>
    <row r="44" spans="1:18" ht="24" x14ac:dyDescent="0.25">
      <c r="A44" s="10" t="s">
        <v>211</v>
      </c>
      <c r="B44" s="11" t="s">
        <v>255</v>
      </c>
      <c r="C44" s="10" t="s">
        <v>256</v>
      </c>
      <c r="D44" s="12"/>
      <c r="E44" s="6" t="s">
        <v>62</v>
      </c>
      <c r="F44" s="12" t="s">
        <v>257</v>
      </c>
      <c r="G44" s="12" t="s">
        <v>258</v>
      </c>
      <c r="H44" s="12" t="s">
        <v>259</v>
      </c>
      <c r="I44" s="13" t="s">
        <v>66</v>
      </c>
      <c r="J44" s="13" t="s">
        <v>67</v>
      </c>
      <c r="K44" s="13" t="s">
        <v>99</v>
      </c>
      <c r="L44" s="14"/>
      <c r="M44" s="14"/>
      <c r="N44" s="13" t="s">
        <v>69</v>
      </c>
      <c r="O44" s="14"/>
      <c r="P44" s="14"/>
      <c r="Q44" s="15"/>
      <c r="R44" s="14"/>
    </row>
    <row r="45" spans="1:18" ht="24" x14ac:dyDescent="0.25">
      <c r="A45" s="3" t="s">
        <v>211</v>
      </c>
      <c r="B45" s="4" t="s">
        <v>260</v>
      </c>
      <c r="C45" s="3" t="s">
        <v>261</v>
      </c>
      <c r="D45" s="5"/>
      <c r="E45" s="6" t="s">
        <v>62</v>
      </c>
      <c r="F45" s="5" t="s">
        <v>262</v>
      </c>
      <c r="G45" s="5" t="s">
        <v>214</v>
      </c>
      <c r="H45" s="5" t="s">
        <v>263</v>
      </c>
      <c r="I45" s="7" t="s">
        <v>66</v>
      </c>
      <c r="J45" s="7" t="s">
        <v>67</v>
      </c>
      <c r="K45" s="7" t="s">
        <v>68</v>
      </c>
      <c r="L45" s="8"/>
      <c r="M45" s="8"/>
      <c r="N45" s="7" t="s">
        <v>69</v>
      </c>
      <c r="O45" s="8"/>
      <c r="P45" s="8"/>
      <c r="Q45" s="9"/>
      <c r="R45" s="8"/>
    </row>
    <row r="46" spans="1:18" ht="25.5" x14ac:dyDescent="0.25">
      <c r="A46" s="10" t="s">
        <v>211</v>
      </c>
      <c r="B46" s="11" t="s">
        <v>264</v>
      </c>
      <c r="C46" s="10" t="s">
        <v>265</v>
      </c>
      <c r="D46" s="12"/>
      <c r="E46" s="6" t="s">
        <v>62</v>
      </c>
      <c r="F46" s="12" t="s">
        <v>266</v>
      </c>
      <c r="G46" s="12" t="s">
        <v>267</v>
      </c>
      <c r="H46" s="12" t="s">
        <v>268</v>
      </c>
      <c r="I46" s="13" t="s">
        <v>66</v>
      </c>
      <c r="J46" s="13" t="s">
        <v>67</v>
      </c>
      <c r="K46" s="13" t="s">
        <v>99</v>
      </c>
      <c r="L46" s="14"/>
      <c r="M46" s="14"/>
      <c r="N46" s="13" t="s">
        <v>69</v>
      </c>
      <c r="O46" s="14"/>
      <c r="P46" s="14"/>
      <c r="Q46" s="15"/>
      <c r="R46" s="14"/>
    </row>
    <row r="47" spans="1:18" ht="24" x14ac:dyDescent="0.25">
      <c r="A47" s="3" t="s">
        <v>211</v>
      </c>
      <c r="B47" s="4" t="s">
        <v>269</v>
      </c>
      <c r="C47" s="3" t="s">
        <v>270</v>
      </c>
      <c r="D47" s="5"/>
      <c r="E47" s="6" t="s">
        <v>62</v>
      </c>
      <c r="F47" s="5" t="s">
        <v>271</v>
      </c>
      <c r="G47" s="5" t="s">
        <v>272</v>
      </c>
      <c r="H47" s="5" t="s">
        <v>273</v>
      </c>
      <c r="I47" s="7" t="s">
        <v>66</v>
      </c>
      <c r="J47" s="7" t="s">
        <v>67</v>
      </c>
      <c r="K47" s="7" t="s">
        <v>99</v>
      </c>
      <c r="L47" s="8"/>
      <c r="M47" s="8"/>
      <c r="N47" s="7" t="s">
        <v>69</v>
      </c>
      <c r="O47" s="8"/>
      <c r="P47" s="8"/>
      <c r="Q47" s="9"/>
      <c r="R47" s="8"/>
    </row>
    <row r="48" spans="1:18" x14ac:dyDescent="0.25">
      <c r="A48" s="10" t="s">
        <v>211</v>
      </c>
      <c r="B48" s="11" t="s">
        <v>274</v>
      </c>
      <c r="C48" s="10" t="s">
        <v>275</v>
      </c>
      <c r="D48" s="12"/>
      <c r="E48" s="6" t="s">
        <v>62</v>
      </c>
      <c r="F48" s="12" t="s">
        <v>276</v>
      </c>
      <c r="G48" s="12" t="s">
        <v>277</v>
      </c>
      <c r="H48" s="12" t="s">
        <v>278</v>
      </c>
      <c r="I48" s="13" t="s">
        <v>66</v>
      </c>
      <c r="J48" s="13" t="s">
        <v>67</v>
      </c>
      <c r="K48" s="13" t="s">
        <v>99</v>
      </c>
      <c r="L48" s="14"/>
      <c r="M48" s="14"/>
      <c r="N48" s="13" t="s">
        <v>69</v>
      </c>
      <c r="O48" s="14"/>
      <c r="P48" s="14"/>
      <c r="Q48" s="15"/>
      <c r="R48" s="14"/>
    </row>
    <row r="49" spans="1:18" x14ac:dyDescent="0.25">
      <c r="A49" s="3" t="s">
        <v>211</v>
      </c>
      <c r="B49" s="4" t="s">
        <v>279</v>
      </c>
      <c r="C49" s="3" t="s">
        <v>280</v>
      </c>
      <c r="D49" s="5"/>
      <c r="E49" s="6" t="s">
        <v>62</v>
      </c>
      <c r="F49" s="5" t="s">
        <v>281</v>
      </c>
      <c r="G49" s="5" t="s">
        <v>282</v>
      </c>
      <c r="H49" s="5" t="s">
        <v>283</v>
      </c>
      <c r="I49" s="7" t="s">
        <v>66</v>
      </c>
      <c r="J49" s="7" t="s">
        <v>67</v>
      </c>
      <c r="K49" s="7" t="s">
        <v>99</v>
      </c>
      <c r="L49" s="8"/>
      <c r="M49" s="8"/>
      <c r="N49" s="7" t="s">
        <v>69</v>
      </c>
      <c r="O49" s="8"/>
      <c r="P49" s="8"/>
      <c r="Q49" s="9"/>
      <c r="R49" s="8"/>
    </row>
    <row r="50" spans="1:18" ht="25.5" x14ac:dyDescent="0.25">
      <c r="A50" s="10" t="s">
        <v>284</v>
      </c>
      <c r="B50" s="11" t="s">
        <v>285</v>
      </c>
      <c r="C50" s="10" t="s">
        <v>61</v>
      </c>
      <c r="D50" s="12"/>
      <c r="E50" s="6" t="s">
        <v>62</v>
      </c>
      <c r="F50" s="12" t="s">
        <v>286</v>
      </c>
      <c r="G50" s="12" t="s">
        <v>287</v>
      </c>
      <c r="H50" s="12" t="s">
        <v>288</v>
      </c>
      <c r="I50" s="13" t="s">
        <v>66</v>
      </c>
      <c r="J50" s="13" t="s">
        <v>67</v>
      </c>
      <c r="K50" s="13" t="s">
        <v>99</v>
      </c>
      <c r="L50" s="14"/>
      <c r="M50" s="14"/>
      <c r="N50" s="13" t="s">
        <v>69</v>
      </c>
      <c r="O50" s="14"/>
      <c r="P50" s="14"/>
      <c r="Q50" s="15"/>
      <c r="R50" s="14"/>
    </row>
    <row r="51" spans="1:18" ht="25.5" x14ac:dyDescent="0.25">
      <c r="A51" s="3" t="s">
        <v>284</v>
      </c>
      <c r="B51" s="4" t="s">
        <v>289</v>
      </c>
      <c r="C51" s="3" t="s">
        <v>290</v>
      </c>
      <c r="D51" s="5"/>
      <c r="E51" s="6" t="s">
        <v>62</v>
      </c>
      <c r="F51" s="5" t="s">
        <v>291</v>
      </c>
      <c r="G51" s="5" t="s">
        <v>287</v>
      </c>
      <c r="H51" s="5" t="s">
        <v>292</v>
      </c>
      <c r="I51" s="7" t="s">
        <v>66</v>
      </c>
      <c r="J51" s="7" t="s">
        <v>67</v>
      </c>
      <c r="K51" s="7" t="s">
        <v>68</v>
      </c>
      <c r="L51" s="8"/>
      <c r="M51" s="8"/>
      <c r="N51" s="7" t="s">
        <v>69</v>
      </c>
      <c r="O51" s="8"/>
      <c r="P51" s="8"/>
      <c r="Q51" s="9"/>
      <c r="R51" s="8"/>
    </row>
    <row r="52" spans="1:18" ht="25.5" x14ac:dyDescent="0.25">
      <c r="A52" s="10" t="s">
        <v>284</v>
      </c>
      <c r="B52" s="11" t="s">
        <v>293</v>
      </c>
      <c r="C52" s="10" t="s">
        <v>294</v>
      </c>
      <c r="D52" s="12"/>
      <c r="E52" s="6" t="s">
        <v>62</v>
      </c>
      <c r="F52" s="12" t="s">
        <v>295</v>
      </c>
      <c r="G52" s="12" t="s">
        <v>296</v>
      </c>
      <c r="H52" s="12" t="s">
        <v>297</v>
      </c>
      <c r="I52" s="13" t="s">
        <v>66</v>
      </c>
      <c r="J52" s="13" t="s">
        <v>67</v>
      </c>
      <c r="K52" s="13" t="s">
        <v>68</v>
      </c>
      <c r="L52" s="14"/>
      <c r="M52" s="14"/>
      <c r="N52" s="13" t="s">
        <v>69</v>
      </c>
      <c r="O52" s="14"/>
      <c r="P52" s="14"/>
      <c r="Q52" s="15"/>
      <c r="R52" s="14"/>
    </row>
    <row r="53" spans="1:18" ht="25.5" x14ac:dyDescent="0.25">
      <c r="A53" s="3" t="s">
        <v>284</v>
      </c>
      <c r="B53" s="4" t="s">
        <v>298</v>
      </c>
      <c r="C53" s="3" t="s">
        <v>299</v>
      </c>
      <c r="D53" s="5"/>
      <c r="E53" s="6" t="s">
        <v>62</v>
      </c>
      <c r="F53" s="5" t="s">
        <v>300</v>
      </c>
      <c r="G53" s="5" t="s">
        <v>301</v>
      </c>
      <c r="H53" s="5" t="s">
        <v>302</v>
      </c>
      <c r="I53" s="7" t="s">
        <v>66</v>
      </c>
      <c r="J53" s="7" t="s">
        <v>67</v>
      </c>
      <c r="K53" s="7" t="s">
        <v>68</v>
      </c>
      <c r="L53" s="8"/>
      <c r="M53" s="8"/>
      <c r="N53" s="7" t="s">
        <v>69</v>
      </c>
      <c r="O53" s="8"/>
      <c r="P53" s="8"/>
      <c r="Q53" s="9"/>
      <c r="R53" s="8"/>
    </row>
    <row r="54" spans="1:18" ht="25.5" x14ac:dyDescent="0.25">
      <c r="A54" s="10" t="s">
        <v>284</v>
      </c>
      <c r="B54" s="11" t="s">
        <v>303</v>
      </c>
      <c r="C54" s="10" t="s">
        <v>304</v>
      </c>
      <c r="D54" s="12"/>
      <c r="E54" s="6" t="s">
        <v>62</v>
      </c>
      <c r="F54" s="12" t="s">
        <v>305</v>
      </c>
      <c r="G54" s="12" t="s">
        <v>301</v>
      </c>
      <c r="H54" s="12" t="s">
        <v>306</v>
      </c>
      <c r="I54" s="13" t="s">
        <v>66</v>
      </c>
      <c r="J54" s="13" t="s">
        <v>67</v>
      </c>
      <c r="K54" s="13" t="s">
        <v>68</v>
      </c>
      <c r="L54" s="14"/>
      <c r="M54" s="14"/>
      <c r="N54" s="13" t="s">
        <v>69</v>
      </c>
      <c r="O54" s="14"/>
      <c r="P54" s="14"/>
      <c r="Q54" s="15"/>
      <c r="R54" s="14"/>
    </row>
    <row r="55" spans="1:18" ht="25.5" x14ac:dyDescent="0.25">
      <c r="A55" s="3" t="s">
        <v>284</v>
      </c>
      <c r="B55" s="4" t="s">
        <v>307</v>
      </c>
      <c r="C55" s="3" t="s">
        <v>308</v>
      </c>
      <c r="D55" s="5"/>
      <c r="E55" s="6" t="s">
        <v>62</v>
      </c>
      <c r="F55" s="5" t="s">
        <v>309</v>
      </c>
      <c r="G55" s="5" t="s">
        <v>310</v>
      </c>
      <c r="H55" s="5" t="s">
        <v>311</v>
      </c>
      <c r="I55" s="7" t="s">
        <v>66</v>
      </c>
      <c r="J55" s="7" t="s">
        <v>67</v>
      </c>
      <c r="K55" s="7" t="s">
        <v>68</v>
      </c>
      <c r="L55" s="8"/>
      <c r="M55" s="8"/>
      <c r="N55" s="7" t="s">
        <v>69</v>
      </c>
      <c r="O55" s="8"/>
      <c r="P55" s="8"/>
      <c r="Q55" s="9"/>
      <c r="R55" s="8"/>
    </row>
    <row r="56" spans="1:18" ht="25.5" x14ac:dyDescent="0.25">
      <c r="A56" s="10" t="s">
        <v>284</v>
      </c>
      <c r="B56" s="11" t="s">
        <v>312</v>
      </c>
      <c r="C56" s="10" t="s">
        <v>313</v>
      </c>
      <c r="D56" s="12"/>
      <c r="E56" s="6" t="s">
        <v>62</v>
      </c>
      <c r="F56" s="12" t="s">
        <v>314</v>
      </c>
      <c r="G56" s="12" t="s">
        <v>315</v>
      </c>
      <c r="H56" s="12" t="s">
        <v>316</v>
      </c>
      <c r="I56" s="13" t="s">
        <v>66</v>
      </c>
      <c r="J56" s="13" t="s">
        <v>67</v>
      </c>
      <c r="K56" s="13" t="s">
        <v>68</v>
      </c>
      <c r="L56" s="14"/>
      <c r="M56" s="14"/>
      <c r="N56" s="13" t="s">
        <v>69</v>
      </c>
      <c r="O56" s="14"/>
      <c r="P56" s="14"/>
      <c r="Q56" s="15"/>
      <c r="R56" s="14"/>
    </row>
    <row r="57" spans="1:18" ht="25.5" x14ac:dyDescent="0.25">
      <c r="A57" s="3" t="s">
        <v>284</v>
      </c>
      <c r="B57" s="4" t="s">
        <v>317</v>
      </c>
      <c r="C57" s="3" t="s">
        <v>318</v>
      </c>
      <c r="D57" s="5"/>
      <c r="E57" s="6" t="s">
        <v>62</v>
      </c>
      <c r="F57" s="5" t="s">
        <v>319</v>
      </c>
      <c r="G57" s="5" t="s">
        <v>320</v>
      </c>
      <c r="H57" s="5" t="s">
        <v>321</v>
      </c>
      <c r="I57" s="7" t="s">
        <v>66</v>
      </c>
      <c r="J57" s="7" t="s">
        <v>67</v>
      </c>
      <c r="K57" s="7" t="s">
        <v>68</v>
      </c>
      <c r="L57" s="8"/>
      <c r="M57" s="8"/>
      <c r="N57" s="7" t="s">
        <v>69</v>
      </c>
      <c r="O57" s="8"/>
      <c r="P57" s="8"/>
      <c r="Q57" s="9"/>
      <c r="R57" s="8"/>
    </row>
    <row r="58" spans="1:18" ht="25.5" x14ac:dyDescent="0.25">
      <c r="A58" s="10" t="s">
        <v>284</v>
      </c>
      <c r="B58" s="11" t="s">
        <v>322</v>
      </c>
      <c r="C58" s="10" t="s">
        <v>323</v>
      </c>
      <c r="D58" s="12"/>
      <c r="E58" s="6" t="s">
        <v>62</v>
      </c>
      <c r="F58" s="12" t="s">
        <v>324</v>
      </c>
      <c r="G58" s="12" t="s">
        <v>325</v>
      </c>
      <c r="H58" s="12" t="s">
        <v>326</v>
      </c>
      <c r="I58" s="13" t="s">
        <v>66</v>
      </c>
      <c r="J58" s="13" t="s">
        <v>67</v>
      </c>
      <c r="K58" s="13" t="s">
        <v>99</v>
      </c>
      <c r="L58" s="14"/>
      <c r="M58" s="14"/>
      <c r="N58" s="13" t="s">
        <v>69</v>
      </c>
      <c r="O58" s="14"/>
      <c r="P58" s="14"/>
      <c r="Q58" s="15"/>
      <c r="R58" s="14"/>
    </row>
    <row r="59" spans="1:18" x14ac:dyDescent="0.25">
      <c r="A59" s="3" t="s">
        <v>327</v>
      </c>
      <c r="B59" s="4" t="s">
        <v>328</v>
      </c>
      <c r="C59" s="3" t="s">
        <v>61</v>
      </c>
      <c r="D59" s="5"/>
      <c r="E59" s="6" t="s">
        <v>62</v>
      </c>
      <c r="F59" s="5" t="s">
        <v>329</v>
      </c>
      <c r="G59" s="5" t="s">
        <v>330</v>
      </c>
      <c r="H59" s="5" t="s">
        <v>331</v>
      </c>
      <c r="I59" s="7" t="s">
        <v>66</v>
      </c>
      <c r="J59" s="7" t="s">
        <v>67</v>
      </c>
      <c r="K59" s="7" t="s">
        <v>99</v>
      </c>
      <c r="L59" s="8"/>
      <c r="M59" s="8"/>
      <c r="N59" s="7" t="s">
        <v>69</v>
      </c>
      <c r="O59" s="8"/>
      <c r="P59" s="8"/>
      <c r="Q59" s="9"/>
      <c r="R59" s="8"/>
    </row>
    <row r="60" spans="1:18" x14ac:dyDescent="0.25">
      <c r="A60" s="10" t="s">
        <v>327</v>
      </c>
      <c r="B60" s="11" t="s">
        <v>332</v>
      </c>
      <c r="C60" s="10" t="s">
        <v>333</v>
      </c>
      <c r="D60" s="12"/>
      <c r="E60" s="6" t="s">
        <v>62</v>
      </c>
      <c r="F60" s="12" t="s">
        <v>334</v>
      </c>
      <c r="G60" s="12" t="s">
        <v>330</v>
      </c>
      <c r="H60" s="12" t="s">
        <v>335</v>
      </c>
      <c r="I60" s="13" t="s">
        <v>66</v>
      </c>
      <c r="J60" s="13" t="s">
        <v>67</v>
      </c>
      <c r="K60" s="13" t="s">
        <v>68</v>
      </c>
      <c r="L60" s="14"/>
      <c r="M60" s="14"/>
      <c r="N60" s="13" t="s">
        <v>69</v>
      </c>
      <c r="O60" s="14"/>
      <c r="P60" s="14"/>
      <c r="Q60" s="15"/>
      <c r="R60" s="14"/>
    </row>
    <row r="61" spans="1:18" x14ac:dyDescent="0.25">
      <c r="A61" s="3" t="s">
        <v>327</v>
      </c>
      <c r="B61" s="4" t="s">
        <v>336</v>
      </c>
      <c r="C61" s="3" t="s">
        <v>337</v>
      </c>
      <c r="D61" s="5"/>
      <c r="E61" s="6" t="s">
        <v>62</v>
      </c>
      <c r="F61" s="5" t="s">
        <v>338</v>
      </c>
      <c r="G61" s="5" t="s">
        <v>339</v>
      </c>
      <c r="H61" s="5" t="s">
        <v>340</v>
      </c>
      <c r="I61" s="7" t="s">
        <v>66</v>
      </c>
      <c r="J61" s="7" t="s">
        <v>67</v>
      </c>
      <c r="K61" s="7" t="s">
        <v>68</v>
      </c>
      <c r="L61" s="8"/>
      <c r="M61" s="8"/>
      <c r="N61" s="7" t="s">
        <v>69</v>
      </c>
      <c r="O61" s="8"/>
      <c r="P61" s="8"/>
      <c r="Q61" s="9"/>
      <c r="R61" s="8"/>
    </row>
    <row r="62" spans="1:18" ht="24" x14ac:dyDescent="0.25">
      <c r="A62" s="10" t="s">
        <v>327</v>
      </c>
      <c r="B62" s="11" t="s">
        <v>341</v>
      </c>
      <c r="C62" s="10" t="s">
        <v>342</v>
      </c>
      <c r="D62" s="12"/>
      <c r="E62" s="6" t="s">
        <v>62</v>
      </c>
      <c r="F62" s="12" t="s">
        <v>343</v>
      </c>
      <c r="G62" s="12" t="s">
        <v>344</v>
      </c>
      <c r="H62" s="12" t="s">
        <v>345</v>
      </c>
      <c r="I62" s="13" t="s">
        <v>66</v>
      </c>
      <c r="J62" s="13" t="s">
        <v>67</v>
      </c>
      <c r="K62" s="13" t="s">
        <v>68</v>
      </c>
      <c r="L62" s="14"/>
      <c r="M62" s="14"/>
      <c r="N62" s="13" t="s">
        <v>69</v>
      </c>
      <c r="O62" s="14"/>
      <c r="P62" s="14"/>
      <c r="Q62" s="15"/>
      <c r="R62" s="14"/>
    </row>
    <row r="63" spans="1:18" ht="24" x14ac:dyDescent="0.25">
      <c r="A63" s="3" t="s">
        <v>327</v>
      </c>
      <c r="B63" s="4" t="s">
        <v>346</v>
      </c>
      <c r="C63" s="3" t="s">
        <v>347</v>
      </c>
      <c r="D63" s="5"/>
      <c r="E63" s="6" t="s">
        <v>62</v>
      </c>
      <c r="F63" s="5" t="s">
        <v>348</v>
      </c>
      <c r="G63" s="5" t="s">
        <v>349</v>
      </c>
      <c r="H63" s="5" t="s">
        <v>350</v>
      </c>
      <c r="I63" s="7" t="s">
        <v>66</v>
      </c>
      <c r="J63" s="7" t="s">
        <v>67</v>
      </c>
      <c r="K63" s="7" t="s">
        <v>68</v>
      </c>
      <c r="L63" s="8"/>
      <c r="M63" s="8"/>
      <c r="N63" s="7" t="s">
        <v>69</v>
      </c>
      <c r="O63" s="8"/>
      <c r="P63" s="8"/>
      <c r="Q63" s="9"/>
      <c r="R63" s="8"/>
    </row>
    <row r="64" spans="1:18" x14ac:dyDescent="0.25">
      <c r="A64" s="10" t="s">
        <v>327</v>
      </c>
      <c r="B64" s="11" t="s">
        <v>351</v>
      </c>
      <c r="C64" s="10" t="s">
        <v>352</v>
      </c>
      <c r="D64" s="12"/>
      <c r="E64" s="6" t="s">
        <v>62</v>
      </c>
      <c r="F64" s="12" t="s">
        <v>353</v>
      </c>
      <c r="G64" s="12" t="s">
        <v>354</v>
      </c>
      <c r="H64" s="12" t="s">
        <v>355</v>
      </c>
      <c r="I64" s="13" t="s">
        <v>66</v>
      </c>
      <c r="J64" s="13" t="s">
        <v>67</v>
      </c>
      <c r="K64" s="13" t="s">
        <v>68</v>
      </c>
      <c r="L64" s="14"/>
      <c r="M64" s="14"/>
      <c r="N64" s="13" t="s">
        <v>69</v>
      </c>
      <c r="O64" s="14"/>
      <c r="P64" s="14"/>
      <c r="Q64" s="15"/>
      <c r="R64" s="14"/>
    </row>
    <row r="65" spans="1:18" ht="24" x14ac:dyDescent="0.25">
      <c r="A65" s="3" t="s">
        <v>327</v>
      </c>
      <c r="B65" s="4" t="s">
        <v>356</v>
      </c>
      <c r="C65" s="3" t="s">
        <v>357</v>
      </c>
      <c r="D65" s="5"/>
      <c r="E65" s="6" t="s">
        <v>62</v>
      </c>
      <c r="F65" s="5" t="s">
        <v>358</v>
      </c>
      <c r="G65" s="5" t="s">
        <v>359</v>
      </c>
      <c r="H65" s="5" t="s">
        <v>360</v>
      </c>
      <c r="I65" s="7" t="s">
        <v>66</v>
      </c>
      <c r="J65" s="7" t="s">
        <v>67</v>
      </c>
      <c r="K65" s="7" t="s">
        <v>68</v>
      </c>
      <c r="L65" s="8"/>
      <c r="M65" s="8"/>
      <c r="N65" s="7" t="s">
        <v>69</v>
      </c>
      <c r="O65" s="8"/>
      <c r="P65" s="8"/>
      <c r="Q65" s="9"/>
      <c r="R65" s="8"/>
    </row>
    <row r="66" spans="1:18" x14ac:dyDescent="0.25">
      <c r="A66" s="10" t="s">
        <v>327</v>
      </c>
      <c r="B66" s="11" t="s">
        <v>361</v>
      </c>
      <c r="C66" s="10" t="s">
        <v>362</v>
      </c>
      <c r="D66" s="12"/>
      <c r="E66" s="6" t="s">
        <v>62</v>
      </c>
      <c r="F66" s="12" t="s">
        <v>363</v>
      </c>
      <c r="G66" s="12" t="s">
        <v>364</v>
      </c>
      <c r="H66" s="12" t="s">
        <v>365</v>
      </c>
      <c r="I66" s="13" t="s">
        <v>66</v>
      </c>
      <c r="J66" s="13" t="s">
        <v>67</v>
      </c>
      <c r="K66" s="13" t="s">
        <v>99</v>
      </c>
      <c r="L66" s="14"/>
      <c r="M66" s="14"/>
      <c r="N66" s="13" t="s">
        <v>69</v>
      </c>
      <c r="O66" s="14"/>
      <c r="P66" s="14"/>
      <c r="Q66" s="15"/>
      <c r="R66" s="14"/>
    </row>
    <row r="67" spans="1:18" x14ac:dyDescent="0.25">
      <c r="A67" s="3" t="s">
        <v>327</v>
      </c>
      <c r="B67" s="4" t="s">
        <v>366</v>
      </c>
      <c r="C67" s="3" t="s">
        <v>367</v>
      </c>
      <c r="D67" s="5"/>
      <c r="E67" s="6" t="s">
        <v>62</v>
      </c>
      <c r="F67" s="5" t="s">
        <v>368</v>
      </c>
      <c r="G67" s="5" t="s">
        <v>330</v>
      </c>
      <c r="H67" s="5" t="s">
        <v>369</v>
      </c>
      <c r="I67" s="7" t="s">
        <v>66</v>
      </c>
      <c r="J67" s="7" t="s">
        <v>67</v>
      </c>
      <c r="K67" s="7" t="s">
        <v>99</v>
      </c>
      <c r="L67" s="8"/>
      <c r="M67" s="8"/>
      <c r="N67" s="7" t="s">
        <v>69</v>
      </c>
      <c r="O67" s="8"/>
      <c r="P67" s="8"/>
      <c r="Q67" s="9"/>
      <c r="R67" s="8"/>
    </row>
    <row r="68" spans="1:18" ht="24" x14ac:dyDescent="0.25">
      <c r="A68" s="10" t="s">
        <v>327</v>
      </c>
      <c r="B68" s="11" t="s">
        <v>370</v>
      </c>
      <c r="C68" s="10" t="s">
        <v>371</v>
      </c>
      <c r="D68" s="12"/>
      <c r="E68" s="6" t="s">
        <v>62</v>
      </c>
      <c r="F68" s="12" t="s">
        <v>372</v>
      </c>
      <c r="G68" s="12" t="s">
        <v>373</v>
      </c>
      <c r="H68" s="12" t="s">
        <v>374</v>
      </c>
      <c r="I68" s="13" t="s">
        <v>66</v>
      </c>
      <c r="J68" s="13" t="s">
        <v>67</v>
      </c>
      <c r="K68" s="13" t="s">
        <v>99</v>
      </c>
      <c r="L68" s="14"/>
      <c r="M68" s="14"/>
      <c r="N68" s="13" t="s">
        <v>69</v>
      </c>
      <c r="O68" s="14"/>
      <c r="P68" s="14"/>
      <c r="Q68" s="15"/>
      <c r="R68" s="14"/>
    </row>
    <row r="69" spans="1:18" ht="24" x14ac:dyDescent="0.25">
      <c r="A69" s="3" t="s">
        <v>327</v>
      </c>
      <c r="B69" s="4" t="s">
        <v>375</v>
      </c>
      <c r="C69" s="3" t="s">
        <v>376</v>
      </c>
      <c r="D69" s="5"/>
      <c r="E69" s="6" t="s">
        <v>62</v>
      </c>
      <c r="F69" s="5" t="s">
        <v>377</v>
      </c>
      <c r="G69" s="5" t="s">
        <v>330</v>
      </c>
      <c r="H69" s="5" t="s">
        <v>378</v>
      </c>
      <c r="I69" s="7" t="s">
        <v>66</v>
      </c>
      <c r="J69" s="7" t="s">
        <v>67</v>
      </c>
      <c r="K69" s="7" t="s">
        <v>99</v>
      </c>
      <c r="L69" s="8"/>
      <c r="M69" s="8"/>
      <c r="N69" s="7" t="s">
        <v>69</v>
      </c>
      <c r="O69" s="8"/>
      <c r="P69" s="8"/>
      <c r="Q69" s="9"/>
      <c r="R69" s="8"/>
    </row>
    <row r="70" spans="1:18" x14ac:dyDescent="0.25">
      <c r="A70" s="10" t="s">
        <v>327</v>
      </c>
      <c r="B70" s="11" t="s">
        <v>379</v>
      </c>
      <c r="C70" s="10" t="s">
        <v>380</v>
      </c>
      <c r="D70" s="12"/>
      <c r="E70" s="6" t="s">
        <v>62</v>
      </c>
      <c r="F70" s="12" t="s">
        <v>381</v>
      </c>
      <c r="G70" s="12" t="s">
        <v>382</v>
      </c>
      <c r="H70" s="12" t="s">
        <v>383</v>
      </c>
      <c r="I70" s="13" t="s">
        <v>66</v>
      </c>
      <c r="J70" s="13" t="s">
        <v>67</v>
      </c>
      <c r="K70" s="13" t="s">
        <v>99</v>
      </c>
      <c r="L70" s="14"/>
      <c r="M70" s="14"/>
      <c r="N70" s="13" t="s">
        <v>69</v>
      </c>
      <c r="O70" s="14"/>
      <c r="P70" s="14"/>
      <c r="Q70" s="15"/>
      <c r="R70" s="14"/>
    </row>
    <row r="71" spans="1:18" x14ac:dyDescent="0.25">
      <c r="A71" s="3" t="s">
        <v>327</v>
      </c>
      <c r="B71" s="4" t="s">
        <v>384</v>
      </c>
      <c r="C71" s="3" t="s">
        <v>385</v>
      </c>
      <c r="D71" s="5"/>
      <c r="E71" s="6" t="s">
        <v>62</v>
      </c>
      <c r="F71" s="5" t="s">
        <v>386</v>
      </c>
      <c r="G71" s="5" t="s">
        <v>382</v>
      </c>
      <c r="H71" s="5" t="s">
        <v>387</v>
      </c>
      <c r="I71" s="7" t="s">
        <v>66</v>
      </c>
      <c r="J71" s="7" t="s">
        <v>67</v>
      </c>
      <c r="K71" s="7" t="s">
        <v>99</v>
      </c>
      <c r="L71" s="8"/>
      <c r="M71" s="8"/>
      <c r="N71" s="7" t="s">
        <v>69</v>
      </c>
      <c r="O71" s="8"/>
      <c r="P71" s="8"/>
      <c r="Q71" s="9"/>
      <c r="R71" s="8"/>
    </row>
    <row r="72" spans="1:18" ht="24" x14ac:dyDescent="0.25">
      <c r="A72" s="10" t="s">
        <v>327</v>
      </c>
      <c r="B72" s="11" t="s">
        <v>388</v>
      </c>
      <c r="C72" s="10" t="s">
        <v>389</v>
      </c>
      <c r="D72" s="12"/>
      <c r="E72" s="6" t="s">
        <v>62</v>
      </c>
      <c r="F72" s="12" t="s">
        <v>390</v>
      </c>
      <c r="G72" s="12" t="s">
        <v>391</v>
      </c>
      <c r="H72" s="12" t="s">
        <v>392</v>
      </c>
      <c r="I72" s="13" t="s">
        <v>66</v>
      </c>
      <c r="J72" s="13" t="s">
        <v>67</v>
      </c>
      <c r="K72" s="13" t="s">
        <v>99</v>
      </c>
      <c r="L72" s="14"/>
      <c r="M72" s="14"/>
      <c r="N72" s="13" t="s">
        <v>69</v>
      </c>
      <c r="O72" s="14"/>
      <c r="P72" s="14"/>
      <c r="Q72" s="15"/>
      <c r="R72" s="14"/>
    </row>
    <row r="73" spans="1:18" x14ac:dyDescent="0.25">
      <c r="A73" s="3" t="s">
        <v>393</v>
      </c>
      <c r="B73" s="4" t="s">
        <v>394</v>
      </c>
      <c r="C73" s="3" t="s">
        <v>61</v>
      </c>
      <c r="D73" s="5"/>
      <c r="E73" s="6" t="s">
        <v>62</v>
      </c>
      <c r="F73" s="5" t="s">
        <v>395</v>
      </c>
      <c r="G73" s="5" t="s">
        <v>396</v>
      </c>
      <c r="H73" s="5" t="s">
        <v>397</v>
      </c>
      <c r="I73" s="7" t="s">
        <v>66</v>
      </c>
      <c r="J73" s="7" t="s">
        <v>67</v>
      </c>
      <c r="K73" s="7" t="s">
        <v>99</v>
      </c>
      <c r="L73" s="8"/>
      <c r="M73" s="8"/>
      <c r="N73" s="7" t="s">
        <v>69</v>
      </c>
      <c r="O73" s="8"/>
      <c r="P73" s="8"/>
      <c r="Q73" s="9"/>
      <c r="R73" s="8"/>
    </row>
    <row r="74" spans="1:18" x14ac:dyDescent="0.25">
      <c r="A74" s="10" t="s">
        <v>393</v>
      </c>
      <c r="B74" s="11" t="s">
        <v>398</v>
      </c>
      <c r="C74" s="10" t="s">
        <v>399</v>
      </c>
      <c r="D74" s="12"/>
      <c r="E74" s="6" t="s">
        <v>62</v>
      </c>
      <c r="F74" s="12" t="s">
        <v>400</v>
      </c>
      <c r="G74" s="12" t="s">
        <v>396</v>
      </c>
      <c r="H74" s="12" t="s">
        <v>401</v>
      </c>
      <c r="I74" s="13" t="s">
        <v>66</v>
      </c>
      <c r="J74" s="13" t="s">
        <v>67</v>
      </c>
      <c r="K74" s="13" t="s">
        <v>68</v>
      </c>
      <c r="L74" s="14"/>
      <c r="M74" s="14"/>
      <c r="N74" s="13" t="s">
        <v>69</v>
      </c>
      <c r="O74" s="14"/>
      <c r="P74" s="14"/>
      <c r="Q74" s="15"/>
      <c r="R74" s="14"/>
    </row>
    <row r="75" spans="1:18" x14ac:dyDescent="0.25">
      <c r="A75" s="3" t="s">
        <v>393</v>
      </c>
      <c r="B75" s="4" t="s">
        <v>402</v>
      </c>
      <c r="C75" s="3" t="s">
        <v>403</v>
      </c>
      <c r="D75" s="5"/>
      <c r="E75" s="6" t="s">
        <v>62</v>
      </c>
      <c r="F75" s="5" t="s">
        <v>404</v>
      </c>
      <c r="G75" s="5" t="s">
        <v>405</v>
      </c>
      <c r="H75" s="5" t="s">
        <v>406</v>
      </c>
      <c r="I75" s="7" t="s">
        <v>66</v>
      </c>
      <c r="J75" s="7" t="s">
        <v>67</v>
      </c>
      <c r="K75" s="7" t="s">
        <v>99</v>
      </c>
      <c r="L75" s="8"/>
      <c r="M75" s="8"/>
      <c r="N75" s="7" t="s">
        <v>69</v>
      </c>
      <c r="O75" s="8"/>
      <c r="P75" s="8"/>
      <c r="Q75" s="9"/>
      <c r="R75" s="8"/>
    </row>
    <row r="76" spans="1:18" x14ac:dyDescent="0.25">
      <c r="A76" s="10" t="s">
        <v>393</v>
      </c>
      <c r="B76" s="11" t="s">
        <v>407</v>
      </c>
      <c r="C76" s="10" t="s">
        <v>408</v>
      </c>
      <c r="D76" s="12"/>
      <c r="E76" s="6" t="s">
        <v>62</v>
      </c>
      <c r="F76" s="12" t="s">
        <v>409</v>
      </c>
      <c r="G76" s="12" t="s">
        <v>396</v>
      </c>
      <c r="H76" s="12" t="s">
        <v>410</v>
      </c>
      <c r="I76" s="13" t="s">
        <v>66</v>
      </c>
      <c r="J76" s="13" t="s">
        <v>67</v>
      </c>
      <c r="K76" s="13" t="s">
        <v>68</v>
      </c>
      <c r="L76" s="14"/>
      <c r="M76" s="14"/>
      <c r="N76" s="13" t="s">
        <v>69</v>
      </c>
      <c r="O76" s="14"/>
      <c r="P76" s="14"/>
      <c r="Q76" s="15"/>
      <c r="R76" s="14"/>
    </row>
    <row r="77" spans="1:18" x14ac:dyDescent="0.25">
      <c r="A77" s="3" t="s">
        <v>393</v>
      </c>
      <c r="B77" s="4" t="s">
        <v>411</v>
      </c>
      <c r="C77" s="3" t="s">
        <v>412</v>
      </c>
      <c r="D77" s="5"/>
      <c r="E77" s="6" t="s">
        <v>62</v>
      </c>
      <c r="F77" s="5" t="s">
        <v>413</v>
      </c>
      <c r="G77" s="5" t="s">
        <v>414</v>
      </c>
      <c r="H77" s="5" t="s">
        <v>415</v>
      </c>
      <c r="I77" s="7" t="s">
        <v>66</v>
      </c>
      <c r="J77" s="7" t="s">
        <v>67</v>
      </c>
      <c r="K77" s="7" t="s">
        <v>68</v>
      </c>
      <c r="L77" s="8"/>
      <c r="M77" s="8"/>
      <c r="N77" s="7" t="s">
        <v>69</v>
      </c>
      <c r="O77" s="8"/>
      <c r="P77" s="8"/>
      <c r="Q77" s="9"/>
      <c r="R77" s="8"/>
    </row>
    <row r="78" spans="1:18" ht="24" x14ac:dyDescent="0.25">
      <c r="A78" s="10" t="s">
        <v>393</v>
      </c>
      <c r="B78" s="11" t="s">
        <v>416</v>
      </c>
      <c r="C78" s="10" t="s">
        <v>417</v>
      </c>
      <c r="D78" s="12"/>
      <c r="E78" s="6" t="s">
        <v>62</v>
      </c>
      <c r="F78" s="12" t="s">
        <v>418</v>
      </c>
      <c r="G78" s="12" t="s">
        <v>396</v>
      </c>
      <c r="H78" s="12" t="s">
        <v>419</v>
      </c>
      <c r="I78" s="13" t="s">
        <v>66</v>
      </c>
      <c r="J78" s="13" t="s">
        <v>67</v>
      </c>
      <c r="K78" s="13" t="s">
        <v>68</v>
      </c>
      <c r="L78" s="14"/>
      <c r="M78" s="14"/>
      <c r="N78" s="13" t="s">
        <v>69</v>
      </c>
      <c r="O78" s="14"/>
      <c r="P78" s="14"/>
      <c r="Q78" s="15"/>
      <c r="R78" s="14"/>
    </row>
    <row r="79" spans="1:18" ht="24" x14ac:dyDescent="0.25">
      <c r="A79" s="3" t="s">
        <v>393</v>
      </c>
      <c r="B79" s="4" t="s">
        <v>420</v>
      </c>
      <c r="C79" s="3" t="s">
        <v>421</v>
      </c>
      <c r="D79" s="5"/>
      <c r="E79" s="6" t="s">
        <v>62</v>
      </c>
      <c r="F79" s="5" t="s">
        <v>422</v>
      </c>
      <c r="G79" s="5" t="s">
        <v>396</v>
      </c>
      <c r="H79" s="5" t="s">
        <v>423</v>
      </c>
      <c r="I79" s="7" t="s">
        <v>66</v>
      </c>
      <c r="J79" s="7" t="s">
        <v>67</v>
      </c>
      <c r="K79" s="7" t="s">
        <v>68</v>
      </c>
      <c r="L79" s="8"/>
      <c r="M79" s="8"/>
      <c r="N79" s="7" t="s">
        <v>69</v>
      </c>
      <c r="O79" s="8"/>
      <c r="P79" s="8"/>
      <c r="Q79" s="9"/>
      <c r="R79" s="8"/>
    </row>
    <row r="80" spans="1:18" ht="24" x14ac:dyDescent="0.25">
      <c r="A80" s="10" t="s">
        <v>393</v>
      </c>
      <c r="B80" s="11" t="s">
        <v>424</v>
      </c>
      <c r="C80" s="10" t="s">
        <v>425</v>
      </c>
      <c r="D80" s="12"/>
      <c r="E80" s="6" t="s">
        <v>62</v>
      </c>
      <c r="F80" s="12" t="s">
        <v>426</v>
      </c>
      <c r="G80" s="12" t="s">
        <v>427</v>
      </c>
      <c r="H80" s="12" t="s">
        <v>428</v>
      </c>
      <c r="I80" s="13" t="s">
        <v>66</v>
      </c>
      <c r="J80" s="13" t="s">
        <v>67</v>
      </c>
      <c r="K80" s="13" t="s">
        <v>68</v>
      </c>
      <c r="L80" s="14"/>
      <c r="M80" s="14"/>
      <c r="N80" s="13" t="s">
        <v>69</v>
      </c>
      <c r="O80" s="14"/>
      <c r="P80" s="14"/>
      <c r="Q80" s="15"/>
      <c r="R80" s="14"/>
    </row>
    <row r="81" spans="1:18" ht="24" x14ac:dyDescent="0.25">
      <c r="A81" s="3" t="s">
        <v>393</v>
      </c>
      <c r="B81" s="4" t="s">
        <v>429</v>
      </c>
      <c r="C81" s="3" t="s">
        <v>430</v>
      </c>
      <c r="D81" s="5"/>
      <c r="E81" s="6" t="s">
        <v>62</v>
      </c>
      <c r="F81" s="5" t="s">
        <v>431</v>
      </c>
      <c r="G81" s="5" t="s">
        <v>432</v>
      </c>
      <c r="H81" s="5" t="s">
        <v>433</v>
      </c>
      <c r="I81" s="7" t="s">
        <v>66</v>
      </c>
      <c r="J81" s="7" t="s">
        <v>67</v>
      </c>
      <c r="K81" s="7" t="s">
        <v>68</v>
      </c>
      <c r="L81" s="8"/>
      <c r="M81" s="8"/>
      <c r="N81" s="7" t="s">
        <v>69</v>
      </c>
      <c r="O81" s="8"/>
      <c r="P81" s="8"/>
      <c r="Q81" s="9"/>
      <c r="R81" s="8"/>
    </row>
    <row r="82" spans="1:18" x14ac:dyDescent="0.25">
      <c r="A82" s="10" t="s">
        <v>393</v>
      </c>
      <c r="B82" s="11" t="s">
        <v>434</v>
      </c>
      <c r="C82" s="10" t="s">
        <v>435</v>
      </c>
      <c r="D82" s="12"/>
      <c r="E82" s="6" t="s">
        <v>62</v>
      </c>
      <c r="F82" s="12" t="s">
        <v>436</v>
      </c>
      <c r="G82" s="12" t="s">
        <v>396</v>
      </c>
      <c r="H82" s="12" t="s">
        <v>437</v>
      </c>
      <c r="I82" s="13" t="s">
        <v>66</v>
      </c>
      <c r="J82" s="13" t="s">
        <v>67</v>
      </c>
      <c r="K82" s="13" t="s">
        <v>68</v>
      </c>
      <c r="L82" s="14"/>
      <c r="M82" s="14"/>
      <c r="N82" s="13" t="s">
        <v>69</v>
      </c>
      <c r="O82" s="14"/>
      <c r="P82" s="14"/>
      <c r="Q82" s="15"/>
      <c r="R82" s="14"/>
    </row>
    <row r="83" spans="1:18" ht="25.5" x14ac:dyDescent="0.25">
      <c r="A83" s="3" t="s">
        <v>393</v>
      </c>
      <c r="B83" s="4" t="s">
        <v>438</v>
      </c>
      <c r="C83" s="3" t="s">
        <v>439</v>
      </c>
      <c r="D83" s="5"/>
      <c r="E83" s="6" t="s">
        <v>62</v>
      </c>
      <c r="F83" s="5" t="s">
        <v>440</v>
      </c>
      <c r="G83" s="5" t="s">
        <v>441</v>
      </c>
      <c r="H83" s="5" t="s">
        <v>442</v>
      </c>
      <c r="I83" s="7" t="s">
        <v>66</v>
      </c>
      <c r="J83" s="7" t="s">
        <v>67</v>
      </c>
      <c r="K83" s="7" t="s">
        <v>99</v>
      </c>
      <c r="L83" s="8"/>
      <c r="M83" s="8"/>
      <c r="N83" s="7" t="s">
        <v>69</v>
      </c>
      <c r="O83" s="8"/>
      <c r="P83" s="8"/>
      <c r="Q83" s="9"/>
      <c r="R83" s="8"/>
    </row>
    <row r="84" spans="1:18" x14ac:dyDescent="0.25">
      <c r="A84" s="10" t="s">
        <v>393</v>
      </c>
      <c r="B84" s="11" t="s">
        <v>443</v>
      </c>
      <c r="C84" s="10" t="s">
        <v>444</v>
      </c>
      <c r="D84" s="12"/>
      <c r="E84" s="6" t="s">
        <v>62</v>
      </c>
      <c r="F84" s="12" t="s">
        <v>445</v>
      </c>
      <c r="G84" s="12" t="s">
        <v>446</v>
      </c>
      <c r="H84" s="12" t="s">
        <v>447</v>
      </c>
      <c r="I84" s="13" t="s">
        <v>66</v>
      </c>
      <c r="J84" s="13" t="s">
        <v>67</v>
      </c>
      <c r="K84" s="13" t="s">
        <v>99</v>
      </c>
      <c r="L84" s="14"/>
      <c r="M84" s="14"/>
      <c r="N84" s="13" t="s">
        <v>69</v>
      </c>
      <c r="O84" s="14"/>
      <c r="P84" s="14"/>
      <c r="Q84" s="15"/>
      <c r="R84" s="14"/>
    </row>
    <row r="85" spans="1:18" x14ac:dyDescent="0.25">
      <c r="A85" s="3" t="s">
        <v>393</v>
      </c>
      <c r="B85" s="4" t="s">
        <v>448</v>
      </c>
      <c r="C85" s="3" t="s">
        <v>449</v>
      </c>
      <c r="D85" s="5"/>
      <c r="E85" s="6" t="s">
        <v>62</v>
      </c>
      <c r="F85" s="5" t="s">
        <v>450</v>
      </c>
      <c r="G85" s="5" t="s">
        <v>451</v>
      </c>
      <c r="H85" s="5" t="s">
        <v>452</v>
      </c>
      <c r="I85" s="7" t="s">
        <v>66</v>
      </c>
      <c r="J85" s="7" t="s">
        <v>67</v>
      </c>
      <c r="K85" s="7" t="s">
        <v>99</v>
      </c>
      <c r="L85" s="8"/>
      <c r="M85" s="8"/>
      <c r="N85" s="7" t="s">
        <v>69</v>
      </c>
      <c r="O85" s="8"/>
      <c r="P85" s="8"/>
      <c r="Q85" s="9"/>
      <c r="R85" s="8"/>
    </row>
    <row r="86" spans="1:18" ht="25.5" x14ac:dyDescent="0.25">
      <c r="A86" s="10" t="s">
        <v>453</v>
      </c>
      <c r="B86" s="11" t="s">
        <v>454</v>
      </c>
      <c r="C86" s="10" t="s">
        <v>61</v>
      </c>
      <c r="D86" s="12"/>
      <c r="E86" s="6" t="s">
        <v>62</v>
      </c>
      <c r="F86" s="12" t="s">
        <v>455</v>
      </c>
      <c r="G86" s="12" t="s">
        <v>456</v>
      </c>
      <c r="H86" s="12" t="s">
        <v>457</v>
      </c>
      <c r="I86" s="13" t="s">
        <v>66</v>
      </c>
      <c r="J86" s="13" t="s">
        <v>67</v>
      </c>
      <c r="K86" s="13" t="s">
        <v>99</v>
      </c>
      <c r="L86" s="14"/>
      <c r="M86" s="14"/>
      <c r="N86" s="13" t="s">
        <v>69</v>
      </c>
      <c r="O86" s="14"/>
      <c r="P86" s="14"/>
      <c r="Q86" s="15"/>
      <c r="R86" s="14"/>
    </row>
    <row r="87" spans="1:18" ht="25.5" x14ac:dyDescent="0.25">
      <c r="A87" s="3" t="s">
        <v>453</v>
      </c>
      <c r="B87" s="4" t="s">
        <v>458</v>
      </c>
      <c r="C87" s="3" t="s">
        <v>459</v>
      </c>
      <c r="D87" s="5"/>
      <c r="E87" s="6" t="s">
        <v>62</v>
      </c>
      <c r="F87" s="5" t="s">
        <v>460</v>
      </c>
      <c r="G87" s="5" t="s">
        <v>461</v>
      </c>
      <c r="H87" s="5" t="s">
        <v>462</v>
      </c>
      <c r="I87" s="7" t="s">
        <v>66</v>
      </c>
      <c r="J87" s="7" t="s">
        <v>67</v>
      </c>
      <c r="K87" s="7" t="s">
        <v>463</v>
      </c>
      <c r="L87" s="8"/>
      <c r="M87" s="8"/>
      <c r="N87" s="7" t="s">
        <v>69</v>
      </c>
      <c r="O87" s="8"/>
      <c r="P87" s="8"/>
      <c r="Q87" s="9"/>
      <c r="R87" s="8"/>
    </row>
    <row r="88" spans="1:18" ht="25.5" x14ac:dyDescent="0.25">
      <c r="A88" s="10" t="s">
        <v>453</v>
      </c>
      <c r="B88" s="11" t="s">
        <v>464</v>
      </c>
      <c r="C88" s="10" t="s">
        <v>465</v>
      </c>
      <c r="D88" s="12"/>
      <c r="E88" s="6" t="s">
        <v>62</v>
      </c>
      <c r="F88" s="12" t="s">
        <v>466</v>
      </c>
      <c r="G88" s="12" t="s">
        <v>467</v>
      </c>
      <c r="H88" s="12" t="s">
        <v>468</v>
      </c>
      <c r="I88" s="13" t="s">
        <v>66</v>
      </c>
      <c r="J88" s="13" t="s">
        <v>67</v>
      </c>
      <c r="K88" s="13" t="s">
        <v>68</v>
      </c>
      <c r="L88" s="14"/>
      <c r="M88" s="14"/>
      <c r="N88" s="13" t="s">
        <v>69</v>
      </c>
      <c r="O88" s="14"/>
      <c r="P88" s="14"/>
      <c r="Q88" s="15"/>
      <c r="R88" s="14"/>
    </row>
    <row r="89" spans="1:18" ht="25.5" x14ac:dyDescent="0.25">
      <c r="A89" s="3" t="s">
        <v>453</v>
      </c>
      <c r="B89" s="4" t="s">
        <v>469</v>
      </c>
      <c r="C89" s="3" t="s">
        <v>470</v>
      </c>
      <c r="D89" s="5"/>
      <c r="E89" s="6" t="s">
        <v>62</v>
      </c>
      <c r="F89" s="5" t="s">
        <v>471</v>
      </c>
      <c r="G89" s="5" t="s">
        <v>456</v>
      </c>
      <c r="H89" s="5" t="s">
        <v>472</v>
      </c>
      <c r="I89" s="7" t="s">
        <v>66</v>
      </c>
      <c r="J89" s="7" t="s">
        <v>67</v>
      </c>
      <c r="K89" s="7" t="s">
        <v>99</v>
      </c>
      <c r="L89" s="8"/>
      <c r="M89" s="8"/>
      <c r="N89" s="7" t="s">
        <v>69</v>
      </c>
      <c r="O89" s="8"/>
      <c r="P89" s="8"/>
      <c r="Q89" s="9"/>
      <c r="R89" s="8"/>
    </row>
    <row r="90" spans="1:18" ht="25.5" x14ac:dyDescent="0.25">
      <c r="A90" s="10" t="s">
        <v>453</v>
      </c>
      <c r="B90" s="11" t="s">
        <v>473</v>
      </c>
      <c r="C90" s="10" t="s">
        <v>474</v>
      </c>
      <c r="D90" s="12"/>
      <c r="E90" s="6" t="s">
        <v>62</v>
      </c>
      <c r="F90" s="12" t="s">
        <v>475</v>
      </c>
      <c r="G90" s="12" t="s">
        <v>476</v>
      </c>
      <c r="H90" s="12" t="s">
        <v>477</v>
      </c>
      <c r="I90" s="13" t="s">
        <v>66</v>
      </c>
      <c r="J90" s="13" t="s">
        <v>67</v>
      </c>
      <c r="K90" s="13" t="s">
        <v>68</v>
      </c>
      <c r="L90" s="14"/>
      <c r="M90" s="14"/>
      <c r="N90" s="13" t="s">
        <v>69</v>
      </c>
      <c r="O90" s="14"/>
      <c r="P90" s="14"/>
      <c r="Q90" s="15"/>
      <c r="R90" s="14"/>
    </row>
    <row r="91" spans="1:18" ht="25.5" x14ac:dyDescent="0.25">
      <c r="A91" s="3" t="s">
        <v>453</v>
      </c>
      <c r="B91" s="4" t="s">
        <v>478</v>
      </c>
      <c r="C91" s="3" t="s">
        <v>479</v>
      </c>
      <c r="D91" s="5"/>
      <c r="E91" s="6" t="s">
        <v>62</v>
      </c>
      <c r="F91" s="5" t="s">
        <v>480</v>
      </c>
      <c r="G91" s="5" t="s">
        <v>456</v>
      </c>
      <c r="H91" s="5" t="s">
        <v>481</v>
      </c>
      <c r="I91" s="7" t="s">
        <v>66</v>
      </c>
      <c r="J91" s="7" t="s">
        <v>67</v>
      </c>
      <c r="K91" s="7" t="s">
        <v>68</v>
      </c>
      <c r="L91" s="8"/>
      <c r="M91" s="8"/>
      <c r="N91" s="7" t="s">
        <v>69</v>
      </c>
      <c r="O91" s="8"/>
      <c r="P91" s="8"/>
      <c r="Q91" s="9"/>
      <c r="R91" s="8"/>
    </row>
    <row r="92" spans="1:18" ht="25.5" x14ac:dyDescent="0.25">
      <c r="A92" s="10" t="s">
        <v>453</v>
      </c>
      <c r="B92" s="11" t="s">
        <v>482</v>
      </c>
      <c r="C92" s="10" t="s">
        <v>483</v>
      </c>
      <c r="D92" s="12"/>
      <c r="E92" s="6" t="s">
        <v>62</v>
      </c>
      <c r="F92" s="12" t="s">
        <v>484</v>
      </c>
      <c r="G92" s="12" t="s">
        <v>485</v>
      </c>
      <c r="H92" s="12" t="s">
        <v>486</v>
      </c>
      <c r="I92" s="13" t="s">
        <v>66</v>
      </c>
      <c r="J92" s="13" t="s">
        <v>67</v>
      </c>
      <c r="K92" s="13" t="s">
        <v>68</v>
      </c>
      <c r="L92" s="14"/>
      <c r="M92" s="14"/>
      <c r="N92" s="13" t="s">
        <v>69</v>
      </c>
      <c r="O92" s="14"/>
      <c r="P92" s="14"/>
      <c r="Q92" s="15"/>
      <c r="R92" s="14"/>
    </row>
    <row r="93" spans="1:18" ht="25.5" x14ac:dyDescent="0.25">
      <c r="A93" s="3" t="s">
        <v>453</v>
      </c>
      <c r="B93" s="4" t="s">
        <v>487</v>
      </c>
      <c r="C93" s="3" t="s">
        <v>488</v>
      </c>
      <c r="D93" s="5"/>
      <c r="E93" s="6" t="s">
        <v>62</v>
      </c>
      <c r="F93" s="5" t="s">
        <v>489</v>
      </c>
      <c r="G93" s="5" t="s">
        <v>159</v>
      </c>
      <c r="H93" s="5" t="s">
        <v>490</v>
      </c>
      <c r="I93" s="7" t="s">
        <v>66</v>
      </c>
      <c r="J93" s="7" t="s">
        <v>67</v>
      </c>
      <c r="K93" s="7" t="s">
        <v>68</v>
      </c>
      <c r="L93" s="8"/>
      <c r="M93" s="8"/>
      <c r="N93" s="7" t="s">
        <v>69</v>
      </c>
      <c r="O93" s="8"/>
      <c r="P93" s="8"/>
      <c r="Q93" s="9"/>
      <c r="R93" s="8"/>
    </row>
    <row r="94" spans="1:18" ht="25.5" x14ac:dyDescent="0.25">
      <c r="A94" s="10" t="s">
        <v>453</v>
      </c>
      <c r="B94" s="11" t="s">
        <v>491</v>
      </c>
      <c r="C94" s="10" t="s">
        <v>492</v>
      </c>
      <c r="D94" s="12"/>
      <c r="E94" s="6" t="s">
        <v>62</v>
      </c>
      <c r="F94" s="12" t="s">
        <v>493</v>
      </c>
      <c r="G94" s="12" t="s">
        <v>456</v>
      </c>
      <c r="H94" s="12" t="s">
        <v>494</v>
      </c>
      <c r="I94" s="13" t="s">
        <v>66</v>
      </c>
      <c r="J94" s="13" t="s">
        <v>67</v>
      </c>
      <c r="K94" s="13" t="s">
        <v>99</v>
      </c>
      <c r="L94" s="14"/>
      <c r="M94" s="14"/>
      <c r="N94" s="13" t="s">
        <v>69</v>
      </c>
      <c r="O94" s="14"/>
      <c r="P94" s="14"/>
      <c r="Q94" s="15"/>
      <c r="R94" s="14"/>
    </row>
    <row r="95" spans="1:18" ht="25.5" x14ac:dyDescent="0.25">
      <c r="A95" s="3" t="s">
        <v>453</v>
      </c>
      <c r="B95" s="4" t="s">
        <v>495</v>
      </c>
      <c r="C95" s="3" t="s">
        <v>496</v>
      </c>
      <c r="D95" s="5"/>
      <c r="E95" s="6" t="s">
        <v>62</v>
      </c>
      <c r="F95" s="5" t="s">
        <v>497</v>
      </c>
      <c r="G95" s="5" t="s">
        <v>461</v>
      </c>
      <c r="H95" s="5" t="s">
        <v>498</v>
      </c>
      <c r="I95" s="7" t="s">
        <v>66</v>
      </c>
      <c r="J95" s="7" t="s">
        <v>67</v>
      </c>
      <c r="K95" s="7" t="s">
        <v>99</v>
      </c>
      <c r="L95" s="8"/>
      <c r="M95" s="8"/>
      <c r="N95" s="7" t="s">
        <v>69</v>
      </c>
      <c r="O95" s="8"/>
      <c r="P95" s="8"/>
      <c r="Q95" s="9"/>
      <c r="R95" s="8"/>
    </row>
    <row r="96" spans="1:18" ht="25.5" x14ac:dyDescent="0.25">
      <c r="A96" s="10" t="s">
        <v>453</v>
      </c>
      <c r="B96" s="11" t="s">
        <v>499</v>
      </c>
      <c r="C96" s="10" t="s">
        <v>500</v>
      </c>
      <c r="D96" s="12"/>
      <c r="E96" s="6" t="s">
        <v>62</v>
      </c>
      <c r="F96" s="12" t="s">
        <v>501</v>
      </c>
      <c r="G96" s="12" t="s">
        <v>456</v>
      </c>
      <c r="H96" s="12" t="s">
        <v>502</v>
      </c>
      <c r="I96" s="13" t="s">
        <v>66</v>
      </c>
      <c r="J96" s="13" t="s">
        <v>67</v>
      </c>
      <c r="K96" s="13" t="s">
        <v>99</v>
      </c>
      <c r="L96" s="14"/>
      <c r="M96" s="14"/>
      <c r="N96" s="13" t="s">
        <v>69</v>
      </c>
      <c r="O96" s="14"/>
      <c r="P96" s="14"/>
      <c r="Q96" s="15"/>
      <c r="R96" s="14"/>
    </row>
    <row r="97" spans="1:18" ht="25.5" x14ac:dyDescent="0.25">
      <c r="A97" s="3" t="s">
        <v>453</v>
      </c>
      <c r="B97" s="4" t="s">
        <v>503</v>
      </c>
      <c r="C97" s="3" t="s">
        <v>504</v>
      </c>
      <c r="D97" s="5"/>
      <c r="E97" s="6" t="s">
        <v>62</v>
      </c>
      <c r="F97" s="5" t="s">
        <v>505</v>
      </c>
      <c r="G97" s="5" t="s">
        <v>506</v>
      </c>
      <c r="H97" s="5" t="s">
        <v>507</v>
      </c>
      <c r="I97" s="7" t="s">
        <v>66</v>
      </c>
      <c r="J97" s="7" t="s">
        <v>67</v>
      </c>
      <c r="K97" s="7" t="s">
        <v>99</v>
      </c>
      <c r="L97" s="8"/>
      <c r="M97" s="8"/>
      <c r="N97" s="7" t="s">
        <v>69</v>
      </c>
      <c r="O97" s="8"/>
      <c r="P97" s="8"/>
      <c r="Q97" s="9"/>
      <c r="R97" s="8"/>
    </row>
    <row r="98" spans="1:18" ht="25.5" x14ac:dyDescent="0.25">
      <c r="A98" s="10" t="s">
        <v>453</v>
      </c>
      <c r="B98" s="11" t="s">
        <v>508</v>
      </c>
      <c r="C98" s="10" t="s">
        <v>509</v>
      </c>
      <c r="D98" s="12"/>
      <c r="E98" s="6" t="s">
        <v>62</v>
      </c>
      <c r="F98" s="12" t="s">
        <v>413</v>
      </c>
      <c r="G98" s="12" t="s">
        <v>414</v>
      </c>
      <c r="H98" s="12" t="s">
        <v>415</v>
      </c>
      <c r="I98" s="13" t="s">
        <v>66</v>
      </c>
      <c r="J98" s="13" t="s">
        <v>67</v>
      </c>
      <c r="K98" s="13" t="s">
        <v>68</v>
      </c>
      <c r="L98" s="14"/>
      <c r="M98" s="14"/>
      <c r="N98" s="13" t="s">
        <v>69</v>
      </c>
      <c r="O98" s="14"/>
      <c r="P98" s="14"/>
      <c r="Q98" s="15"/>
      <c r="R98" s="14"/>
    </row>
    <row r="99" spans="1:18" x14ac:dyDescent="0.25">
      <c r="A99" s="3" t="s">
        <v>510</v>
      </c>
      <c r="B99" s="4" t="s">
        <v>511</v>
      </c>
      <c r="C99" s="3" t="s">
        <v>61</v>
      </c>
      <c r="D99" s="5"/>
      <c r="E99" s="6" t="s">
        <v>62</v>
      </c>
      <c r="F99" s="5" t="s">
        <v>512</v>
      </c>
      <c r="G99" s="5" t="s">
        <v>513</v>
      </c>
      <c r="H99" s="5" t="s">
        <v>514</v>
      </c>
      <c r="I99" s="7" t="s">
        <v>66</v>
      </c>
      <c r="J99" s="7" t="s">
        <v>67</v>
      </c>
      <c r="K99" s="7" t="s">
        <v>99</v>
      </c>
      <c r="L99" s="8"/>
      <c r="M99" s="8"/>
      <c r="N99" s="7" t="s">
        <v>69</v>
      </c>
      <c r="O99" s="8"/>
      <c r="P99" s="8"/>
      <c r="Q99" s="9"/>
      <c r="R99" s="8"/>
    </row>
    <row r="100" spans="1:18" x14ac:dyDescent="0.25">
      <c r="A100" s="10" t="s">
        <v>510</v>
      </c>
      <c r="B100" s="11" t="s">
        <v>515</v>
      </c>
      <c r="C100" s="10" t="s">
        <v>516</v>
      </c>
      <c r="D100" s="12"/>
      <c r="E100" s="6" t="s">
        <v>62</v>
      </c>
      <c r="F100" s="12" t="s">
        <v>517</v>
      </c>
      <c r="G100" s="12" t="s">
        <v>518</v>
      </c>
      <c r="H100" s="12" t="s">
        <v>519</v>
      </c>
      <c r="I100" s="13" t="s">
        <v>66</v>
      </c>
      <c r="J100" s="13" t="s">
        <v>67</v>
      </c>
      <c r="K100" s="13" t="s">
        <v>99</v>
      </c>
      <c r="L100" s="14"/>
      <c r="M100" s="14"/>
      <c r="N100" s="13" t="s">
        <v>69</v>
      </c>
      <c r="O100" s="14"/>
      <c r="P100" s="14"/>
      <c r="Q100" s="15"/>
      <c r="R100" s="14"/>
    </row>
    <row r="101" spans="1:18" x14ac:dyDescent="0.25">
      <c r="A101" s="3" t="s">
        <v>510</v>
      </c>
      <c r="B101" s="4" t="s">
        <v>520</v>
      </c>
      <c r="C101" s="3" t="s">
        <v>521</v>
      </c>
      <c r="D101" s="5"/>
      <c r="E101" s="6" t="s">
        <v>62</v>
      </c>
      <c r="F101" s="5" t="s">
        <v>522</v>
      </c>
      <c r="G101" s="5" t="s">
        <v>513</v>
      </c>
      <c r="H101" s="5" t="s">
        <v>523</v>
      </c>
      <c r="I101" s="7" t="s">
        <v>66</v>
      </c>
      <c r="J101" s="7" t="s">
        <v>67</v>
      </c>
      <c r="K101" s="7" t="s">
        <v>68</v>
      </c>
      <c r="L101" s="8"/>
      <c r="M101" s="8"/>
      <c r="N101" s="7" t="s">
        <v>69</v>
      </c>
      <c r="O101" s="8"/>
      <c r="P101" s="8"/>
      <c r="Q101" s="9"/>
      <c r="R101" s="8"/>
    </row>
    <row r="102" spans="1:18" ht="24" x14ac:dyDescent="0.25">
      <c r="A102" s="10" t="s">
        <v>510</v>
      </c>
      <c r="B102" s="11" t="s">
        <v>524</v>
      </c>
      <c r="C102" s="10" t="s">
        <v>525</v>
      </c>
      <c r="D102" s="12"/>
      <c r="E102" s="6" t="s">
        <v>62</v>
      </c>
      <c r="F102" s="12" t="s">
        <v>526</v>
      </c>
      <c r="G102" s="12" t="s">
        <v>513</v>
      </c>
      <c r="H102" s="12" t="s">
        <v>527</v>
      </c>
      <c r="I102" s="13" t="s">
        <v>66</v>
      </c>
      <c r="J102" s="13" t="s">
        <v>67</v>
      </c>
      <c r="K102" s="13" t="s">
        <v>68</v>
      </c>
      <c r="L102" s="14"/>
      <c r="M102" s="14"/>
      <c r="N102" s="13" t="s">
        <v>69</v>
      </c>
      <c r="O102" s="14"/>
      <c r="P102" s="14"/>
      <c r="Q102" s="15"/>
      <c r="R102" s="14"/>
    </row>
    <row r="103" spans="1:18" ht="24" x14ac:dyDescent="0.25">
      <c r="A103" s="3" t="s">
        <v>510</v>
      </c>
      <c r="B103" s="4" t="s">
        <v>528</v>
      </c>
      <c r="C103" s="3" t="s">
        <v>529</v>
      </c>
      <c r="D103" s="5"/>
      <c r="E103" s="6" t="s">
        <v>62</v>
      </c>
      <c r="F103" s="5" t="s">
        <v>530</v>
      </c>
      <c r="G103" s="5" t="s">
        <v>513</v>
      </c>
      <c r="H103" s="5" t="s">
        <v>531</v>
      </c>
      <c r="I103" s="7" t="s">
        <v>66</v>
      </c>
      <c r="J103" s="7" t="s">
        <v>67</v>
      </c>
      <c r="K103" s="7" t="s">
        <v>99</v>
      </c>
      <c r="L103" s="8"/>
      <c r="M103" s="8"/>
      <c r="N103" s="7" t="s">
        <v>69</v>
      </c>
      <c r="O103" s="8"/>
      <c r="P103" s="8"/>
      <c r="Q103" s="9"/>
      <c r="R103" s="8"/>
    </row>
    <row r="104" spans="1:18" ht="24" x14ac:dyDescent="0.25">
      <c r="A104" s="10" t="s">
        <v>510</v>
      </c>
      <c r="B104" s="11" t="s">
        <v>532</v>
      </c>
      <c r="C104" s="10" t="s">
        <v>533</v>
      </c>
      <c r="D104" s="12"/>
      <c r="E104" s="6" t="s">
        <v>62</v>
      </c>
      <c r="F104" s="12" t="s">
        <v>534</v>
      </c>
      <c r="G104" s="12" t="s">
        <v>535</v>
      </c>
      <c r="H104" s="12" t="s">
        <v>536</v>
      </c>
      <c r="I104" s="13" t="s">
        <v>66</v>
      </c>
      <c r="J104" s="13" t="s">
        <v>67</v>
      </c>
      <c r="K104" s="13" t="s">
        <v>99</v>
      </c>
      <c r="L104" s="14"/>
      <c r="M104" s="14"/>
      <c r="N104" s="13" t="s">
        <v>69</v>
      </c>
      <c r="O104" s="14"/>
      <c r="P104" s="14"/>
      <c r="Q104" s="15"/>
      <c r="R104" s="14"/>
    </row>
    <row r="105" spans="1:18" x14ac:dyDescent="0.25">
      <c r="A105" s="3" t="s">
        <v>510</v>
      </c>
      <c r="B105" s="4" t="s">
        <v>537</v>
      </c>
      <c r="C105" s="3" t="s">
        <v>538</v>
      </c>
      <c r="D105" s="5"/>
      <c r="E105" s="6" t="s">
        <v>62</v>
      </c>
      <c r="F105" s="5" t="s">
        <v>539</v>
      </c>
      <c r="G105" s="5" t="s">
        <v>513</v>
      </c>
      <c r="H105" s="5" t="s">
        <v>540</v>
      </c>
      <c r="I105" s="7" t="s">
        <v>66</v>
      </c>
      <c r="J105" s="7" t="s">
        <v>67</v>
      </c>
      <c r="K105" s="7" t="s">
        <v>99</v>
      </c>
      <c r="L105" s="8"/>
      <c r="M105" s="8"/>
      <c r="N105" s="7" t="s">
        <v>69</v>
      </c>
      <c r="O105" s="8"/>
      <c r="P105" s="8"/>
      <c r="Q105" s="9"/>
      <c r="R105" s="8"/>
    </row>
    <row r="106" spans="1:18" x14ac:dyDescent="0.25">
      <c r="A106" s="10" t="s">
        <v>510</v>
      </c>
      <c r="B106" s="11" t="s">
        <v>541</v>
      </c>
      <c r="C106" s="10" t="s">
        <v>542</v>
      </c>
      <c r="D106" s="12"/>
      <c r="E106" s="6" t="s">
        <v>62</v>
      </c>
      <c r="F106" s="12" t="s">
        <v>543</v>
      </c>
      <c r="G106" s="12" t="s">
        <v>513</v>
      </c>
      <c r="H106" s="12" t="s">
        <v>544</v>
      </c>
      <c r="I106" s="13" t="s">
        <v>66</v>
      </c>
      <c r="J106" s="13" t="s">
        <v>67</v>
      </c>
      <c r="K106" s="13" t="s">
        <v>68</v>
      </c>
      <c r="L106" s="14"/>
      <c r="M106" s="14"/>
      <c r="N106" s="13" t="s">
        <v>69</v>
      </c>
      <c r="O106" s="14"/>
      <c r="P106" s="14"/>
      <c r="Q106" s="15"/>
      <c r="R106" s="14"/>
    </row>
    <row r="107" spans="1:18" x14ac:dyDescent="0.25">
      <c r="A107" s="3" t="s">
        <v>510</v>
      </c>
      <c r="B107" s="4" t="s">
        <v>545</v>
      </c>
      <c r="C107" s="3" t="s">
        <v>546</v>
      </c>
      <c r="D107" s="5"/>
      <c r="E107" s="6" t="s">
        <v>62</v>
      </c>
      <c r="F107" s="5" t="s">
        <v>547</v>
      </c>
      <c r="G107" s="5" t="s">
        <v>548</v>
      </c>
      <c r="H107" s="5" t="s">
        <v>549</v>
      </c>
      <c r="I107" s="7" t="s">
        <v>66</v>
      </c>
      <c r="J107" s="7" t="s">
        <v>67</v>
      </c>
      <c r="K107" s="7" t="s">
        <v>68</v>
      </c>
      <c r="L107" s="8"/>
      <c r="M107" s="8"/>
      <c r="N107" s="7" t="s">
        <v>69</v>
      </c>
      <c r="O107" s="8"/>
      <c r="P107" s="8"/>
      <c r="Q107" s="9"/>
      <c r="R107" s="8"/>
    </row>
    <row r="108" spans="1:18" ht="25.5" x14ac:dyDescent="0.25">
      <c r="A108" s="10" t="s">
        <v>510</v>
      </c>
      <c r="B108" s="11" t="s">
        <v>550</v>
      </c>
      <c r="C108" s="10" t="s">
        <v>551</v>
      </c>
      <c r="D108" s="12"/>
      <c r="E108" s="6" t="s">
        <v>62</v>
      </c>
      <c r="F108" s="12" t="s">
        <v>552</v>
      </c>
      <c r="G108" s="12" t="s">
        <v>513</v>
      </c>
      <c r="H108" s="12" t="s">
        <v>553</v>
      </c>
      <c r="I108" s="13" t="s">
        <v>66</v>
      </c>
      <c r="J108" s="13" t="s">
        <v>67</v>
      </c>
      <c r="K108" s="13" t="s">
        <v>99</v>
      </c>
      <c r="L108" s="14"/>
      <c r="M108" s="14"/>
      <c r="N108" s="13" t="s">
        <v>69</v>
      </c>
      <c r="O108" s="14"/>
      <c r="P108" s="14"/>
      <c r="Q108" s="15"/>
      <c r="R108" s="14"/>
    </row>
    <row r="109" spans="1:18" x14ac:dyDescent="0.25">
      <c r="A109" s="3" t="s">
        <v>554</v>
      </c>
      <c r="B109" s="4" t="s">
        <v>555</v>
      </c>
      <c r="C109" s="3" t="s">
        <v>61</v>
      </c>
      <c r="D109" s="5"/>
      <c r="E109" s="6" t="s">
        <v>108</v>
      </c>
      <c r="F109" s="5" t="s">
        <v>556</v>
      </c>
      <c r="G109" s="5" t="s">
        <v>557</v>
      </c>
      <c r="H109" s="5" t="s">
        <v>558</v>
      </c>
      <c r="I109" s="7" t="s">
        <v>66</v>
      </c>
      <c r="J109" s="7" t="s">
        <v>67</v>
      </c>
      <c r="K109" s="7" t="s">
        <v>105</v>
      </c>
      <c r="L109" s="8"/>
      <c r="M109" s="8"/>
      <c r="N109" s="7" t="s">
        <v>69</v>
      </c>
      <c r="O109" s="8"/>
      <c r="P109" s="8"/>
      <c r="Q109" s="9"/>
      <c r="R109" s="8"/>
    </row>
    <row r="110" spans="1:18" ht="24" x14ac:dyDescent="0.25">
      <c r="A110" s="10" t="s">
        <v>554</v>
      </c>
      <c r="B110" s="11" t="s">
        <v>559</v>
      </c>
      <c r="C110" s="10" t="s">
        <v>560</v>
      </c>
      <c r="D110" s="12"/>
      <c r="E110" s="6" t="s">
        <v>108</v>
      </c>
      <c r="F110" s="12" t="s">
        <v>561</v>
      </c>
      <c r="G110" s="12" t="s">
        <v>557</v>
      </c>
      <c r="H110" s="12" t="s">
        <v>562</v>
      </c>
      <c r="I110" s="13" t="s">
        <v>66</v>
      </c>
      <c r="J110" s="13" t="s">
        <v>67</v>
      </c>
      <c r="K110" s="13" t="s">
        <v>105</v>
      </c>
      <c r="L110" s="14"/>
      <c r="M110" s="14"/>
      <c r="N110" s="13" t="s">
        <v>69</v>
      </c>
      <c r="O110" s="14"/>
      <c r="P110" s="14"/>
      <c r="Q110" s="15"/>
      <c r="R110" s="14"/>
    </row>
    <row r="111" spans="1:18" x14ac:dyDescent="0.25">
      <c r="A111" s="3" t="s">
        <v>554</v>
      </c>
      <c r="B111" s="4" t="s">
        <v>563</v>
      </c>
      <c r="C111" s="3" t="s">
        <v>564</v>
      </c>
      <c r="D111" s="5"/>
      <c r="E111" s="6" t="s">
        <v>108</v>
      </c>
      <c r="F111" s="5" t="s">
        <v>565</v>
      </c>
      <c r="G111" s="5" t="s">
        <v>557</v>
      </c>
      <c r="H111" s="5" t="s">
        <v>566</v>
      </c>
      <c r="I111" s="7" t="s">
        <v>66</v>
      </c>
      <c r="J111" s="7" t="s">
        <v>67</v>
      </c>
      <c r="K111" s="7" t="s">
        <v>105</v>
      </c>
      <c r="L111" s="8"/>
      <c r="M111" s="8"/>
      <c r="N111" s="7" t="s">
        <v>69</v>
      </c>
      <c r="O111" s="8"/>
      <c r="P111" s="8"/>
      <c r="Q111" s="9"/>
      <c r="R111" s="8"/>
    </row>
    <row r="112" spans="1:18" ht="24" x14ac:dyDescent="0.25">
      <c r="A112" s="10" t="s">
        <v>554</v>
      </c>
      <c r="B112" s="11" t="s">
        <v>567</v>
      </c>
      <c r="C112" s="10" t="s">
        <v>568</v>
      </c>
      <c r="D112" s="12"/>
      <c r="E112" s="6" t="s">
        <v>62</v>
      </c>
      <c r="F112" s="12" t="s">
        <v>569</v>
      </c>
      <c r="G112" s="12" t="s">
        <v>570</v>
      </c>
      <c r="H112" s="12" t="s">
        <v>571</v>
      </c>
      <c r="I112" s="13" t="s">
        <v>66</v>
      </c>
      <c r="J112" s="13" t="s">
        <v>67</v>
      </c>
      <c r="K112" s="13" t="s">
        <v>99</v>
      </c>
      <c r="L112" s="14"/>
      <c r="M112" s="14"/>
      <c r="N112" s="13" t="s">
        <v>69</v>
      </c>
      <c r="O112" s="14"/>
      <c r="P112" s="14"/>
      <c r="Q112" s="15"/>
      <c r="R112" s="14"/>
    </row>
    <row r="113" spans="1:18" ht="24" x14ac:dyDescent="0.25">
      <c r="A113" s="3" t="s">
        <v>554</v>
      </c>
      <c r="B113" s="4" t="s">
        <v>572</v>
      </c>
      <c r="C113" s="3" t="s">
        <v>573</v>
      </c>
      <c r="D113" s="5"/>
      <c r="E113" s="6" t="s">
        <v>62</v>
      </c>
      <c r="F113" s="5" t="s">
        <v>574</v>
      </c>
      <c r="G113" s="5" t="s">
        <v>575</v>
      </c>
      <c r="H113" s="5" t="s">
        <v>576</v>
      </c>
      <c r="I113" s="7" t="s">
        <v>66</v>
      </c>
      <c r="J113" s="7" t="s">
        <v>67</v>
      </c>
      <c r="K113" s="7" t="s">
        <v>99</v>
      </c>
      <c r="L113" s="8"/>
      <c r="M113" s="8"/>
      <c r="N113" s="7" t="s">
        <v>69</v>
      </c>
      <c r="O113" s="8"/>
      <c r="P113" s="8"/>
      <c r="Q113" s="9"/>
      <c r="R113" s="8"/>
    </row>
    <row r="114" spans="1:18" x14ac:dyDescent="0.25">
      <c r="A114" s="10" t="s">
        <v>554</v>
      </c>
      <c r="B114" s="11" t="s">
        <v>577</v>
      </c>
      <c r="C114" s="10" t="s">
        <v>578</v>
      </c>
      <c r="D114" s="12"/>
      <c r="E114" s="6" t="s">
        <v>108</v>
      </c>
      <c r="F114" s="12" t="s">
        <v>579</v>
      </c>
      <c r="G114" s="12" t="s">
        <v>580</v>
      </c>
      <c r="H114" s="12" t="s">
        <v>581</v>
      </c>
      <c r="I114" s="13" t="s">
        <v>66</v>
      </c>
      <c r="J114" s="13" t="s">
        <v>67</v>
      </c>
      <c r="K114" s="13" t="s">
        <v>99</v>
      </c>
      <c r="L114" s="14"/>
      <c r="M114" s="14"/>
      <c r="N114" s="13" t="s">
        <v>69</v>
      </c>
      <c r="O114" s="14"/>
      <c r="P114" s="14"/>
      <c r="Q114" s="15"/>
      <c r="R114" s="14"/>
    </row>
    <row r="115" spans="1:18" ht="24" x14ac:dyDescent="0.25">
      <c r="A115" s="3" t="s">
        <v>554</v>
      </c>
      <c r="B115" s="4" t="s">
        <v>582</v>
      </c>
      <c r="C115" s="3" t="s">
        <v>583</v>
      </c>
      <c r="D115" s="5"/>
      <c r="E115" s="6" t="s">
        <v>62</v>
      </c>
      <c r="F115" s="5" t="s">
        <v>584</v>
      </c>
      <c r="G115" s="5" t="s">
        <v>557</v>
      </c>
      <c r="H115" s="5" t="s">
        <v>585</v>
      </c>
      <c r="I115" s="7" t="s">
        <v>66</v>
      </c>
      <c r="J115" s="7" t="s">
        <v>67</v>
      </c>
      <c r="K115" s="7" t="s">
        <v>105</v>
      </c>
      <c r="L115" s="8"/>
      <c r="M115" s="8"/>
      <c r="N115" s="7" t="s">
        <v>69</v>
      </c>
      <c r="O115" s="8"/>
      <c r="P115" s="8"/>
      <c r="Q115" s="9"/>
      <c r="R115" s="8"/>
    </row>
    <row r="116" spans="1:18" x14ac:dyDescent="0.25">
      <c r="A116" s="10" t="s">
        <v>586</v>
      </c>
      <c r="B116" s="11" t="s">
        <v>587</v>
      </c>
      <c r="C116" s="10" t="s">
        <v>61</v>
      </c>
      <c r="D116" s="12"/>
      <c r="E116" s="6" t="s">
        <v>62</v>
      </c>
      <c r="F116" s="12" t="s">
        <v>588</v>
      </c>
      <c r="G116" s="12" t="s">
        <v>589</v>
      </c>
      <c r="H116" s="12" t="s">
        <v>590</v>
      </c>
      <c r="I116" s="13" t="s">
        <v>66</v>
      </c>
      <c r="J116" s="13" t="s">
        <v>67</v>
      </c>
      <c r="K116" s="13" t="s">
        <v>105</v>
      </c>
      <c r="L116" s="14"/>
      <c r="M116" s="14"/>
      <c r="N116" s="13" t="s">
        <v>69</v>
      </c>
      <c r="O116" s="14"/>
      <c r="P116" s="14"/>
      <c r="Q116" s="15"/>
      <c r="R116" s="14"/>
    </row>
    <row r="117" spans="1:18" x14ac:dyDescent="0.25">
      <c r="A117" s="3" t="s">
        <v>586</v>
      </c>
      <c r="B117" s="4" t="s">
        <v>591</v>
      </c>
      <c r="C117" s="3" t="s">
        <v>592</v>
      </c>
      <c r="D117" s="5"/>
      <c r="E117" s="6" t="s">
        <v>62</v>
      </c>
      <c r="F117" s="5" t="s">
        <v>593</v>
      </c>
      <c r="G117" s="5" t="s">
        <v>594</v>
      </c>
      <c r="H117" s="5" t="s">
        <v>595</v>
      </c>
      <c r="I117" s="7" t="s">
        <v>66</v>
      </c>
      <c r="J117" s="7" t="s">
        <v>67</v>
      </c>
      <c r="K117" s="7" t="s">
        <v>99</v>
      </c>
      <c r="L117" s="8"/>
      <c r="M117" s="8"/>
      <c r="N117" s="7" t="s">
        <v>69</v>
      </c>
      <c r="O117" s="8"/>
      <c r="P117" s="8"/>
      <c r="Q117" s="9"/>
      <c r="R117" s="8"/>
    </row>
    <row r="118" spans="1:18" ht="24" x14ac:dyDescent="0.25">
      <c r="A118" s="10" t="s">
        <v>586</v>
      </c>
      <c r="B118" s="11" t="s">
        <v>596</v>
      </c>
      <c r="C118" s="10" t="s">
        <v>597</v>
      </c>
      <c r="D118" s="12"/>
      <c r="E118" s="6" t="s">
        <v>62</v>
      </c>
      <c r="F118" s="12" t="s">
        <v>598</v>
      </c>
      <c r="G118" s="12" t="s">
        <v>589</v>
      </c>
      <c r="H118" s="12" t="s">
        <v>599</v>
      </c>
      <c r="I118" s="13" t="s">
        <v>66</v>
      </c>
      <c r="J118" s="13" t="s">
        <v>67</v>
      </c>
      <c r="K118" s="13" t="s">
        <v>99</v>
      </c>
      <c r="L118" s="14"/>
      <c r="M118" s="14"/>
      <c r="N118" s="13" t="s">
        <v>69</v>
      </c>
      <c r="O118" s="14"/>
      <c r="P118" s="14"/>
      <c r="Q118" s="15"/>
      <c r="R118" s="14"/>
    </row>
    <row r="119" spans="1:18" x14ac:dyDescent="0.25">
      <c r="A119" s="3" t="s">
        <v>586</v>
      </c>
      <c r="B119" s="4" t="s">
        <v>600</v>
      </c>
      <c r="C119" s="3" t="s">
        <v>601</v>
      </c>
      <c r="D119" s="5"/>
      <c r="E119" s="6" t="s">
        <v>108</v>
      </c>
      <c r="F119" s="5" t="s">
        <v>602</v>
      </c>
      <c r="G119" s="5" t="s">
        <v>603</v>
      </c>
      <c r="H119" s="5" t="s">
        <v>604</v>
      </c>
      <c r="I119" s="7" t="s">
        <v>66</v>
      </c>
      <c r="J119" s="7" t="s">
        <v>67</v>
      </c>
      <c r="K119" s="7" t="s">
        <v>99</v>
      </c>
      <c r="L119" s="8"/>
      <c r="M119" s="8"/>
      <c r="N119" s="7" t="s">
        <v>69</v>
      </c>
      <c r="O119" s="8"/>
      <c r="P119" s="8"/>
      <c r="Q119" s="9"/>
      <c r="R119" s="8"/>
    </row>
    <row r="120" spans="1:18" x14ac:dyDescent="0.25">
      <c r="A120" s="10" t="s">
        <v>586</v>
      </c>
      <c r="B120" s="11" t="s">
        <v>605</v>
      </c>
      <c r="C120" s="10" t="s">
        <v>606</v>
      </c>
      <c r="D120" s="12"/>
      <c r="E120" s="6" t="s">
        <v>108</v>
      </c>
      <c r="F120" s="12" t="s">
        <v>607</v>
      </c>
      <c r="G120" s="12" t="s">
        <v>589</v>
      </c>
      <c r="H120" s="12" t="s">
        <v>608</v>
      </c>
      <c r="I120" s="13" t="s">
        <v>66</v>
      </c>
      <c r="J120" s="13" t="s">
        <v>67</v>
      </c>
      <c r="K120" s="13" t="s">
        <v>68</v>
      </c>
      <c r="L120" s="14"/>
      <c r="M120" s="14"/>
      <c r="N120" s="13" t="s">
        <v>69</v>
      </c>
      <c r="O120" s="14"/>
      <c r="P120" s="14"/>
      <c r="Q120" s="15"/>
      <c r="R120" s="14"/>
    </row>
    <row r="121" spans="1:18" ht="24" x14ac:dyDescent="0.25">
      <c r="A121" s="3" t="s">
        <v>586</v>
      </c>
      <c r="B121" s="4" t="s">
        <v>609</v>
      </c>
      <c r="C121" s="3" t="s">
        <v>610</v>
      </c>
      <c r="D121" s="5"/>
      <c r="E121" s="6" t="s">
        <v>62</v>
      </c>
      <c r="F121" s="5" t="s">
        <v>611</v>
      </c>
      <c r="G121" s="5" t="s">
        <v>612</v>
      </c>
      <c r="H121" s="5" t="s">
        <v>613</v>
      </c>
      <c r="I121" s="7" t="s">
        <v>66</v>
      </c>
      <c r="J121" s="7" t="s">
        <v>67</v>
      </c>
      <c r="K121" s="7" t="s">
        <v>68</v>
      </c>
      <c r="L121" s="8"/>
      <c r="M121" s="8"/>
      <c r="N121" s="7" t="s">
        <v>69</v>
      </c>
      <c r="O121" s="8"/>
      <c r="P121" s="8"/>
      <c r="Q121" s="9"/>
      <c r="R121" s="8"/>
    </row>
    <row r="122" spans="1:18" x14ac:dyDescent="0.25">
      <c r="A122" s="10" t="s">
        <v>586</v>
      </c>
      <c r="B122" s="11" t="s">
        <v>614</v>
      </c>
      <c r="C122" s="10" t="s">
        <v>615</v>
      </c>
      <c r="D122" s="12"/>
      <c r="E122" s="6" t="s">
        <v>62</v>
      </c>
      <c r="F122" s="12" t="s">
        <v>616</v>
      </c>
      <c r="G122" s="12" t="s">
        <v>617</v>
      </c>
      <c r="H122" s="12" t="s">
        <v>618</v>
      </c>
      <c r="I122" s="13" t="s">
        <v>66</v>
      </c>
      <c r="J122" s="13" t="s">
        <v>67</v>
      </c>
      <c r="K122" s="13" t="s">
        <v>99</v>
      </c>
      <c r="L122" s="14"/>
      <c r="M122" s="14"/>
      <c r="N122" s="13" t="s">
        <v>69</v>
      </c>
      <c r="O122" s="14"/>
      <c r="P122" s="14"/>
      <c r="Q122" s="15"/>
      <c r="R122" s="14"/>
    </row>
    <row r="123" spans="1:18" x14ac:dyDescent="0.25">
      <c r="A123" s="3" t="s">
        <v>586</v>
      </c>
      <c r="B123" s="4" t="s">
        <v>619</v>
      </c>
      <c r="C123" s="3" t="s">
        <v>620</v>
      </c>
      <c r="D123" s="5"/>
      <c r="E123" s="6" t="s">
        <v>108</v>
      </c>
      <c r="F123" s="5" t="s">
        <v>621</v>
      </c>
      <c r="G123" s="5" t="s">
        <v>589</v>
      </c>
      <c r="H123" s="5" t="s">
        <v>622</v>
      </c>
      <c r="I123" s="7" t="s">
        <v>66</v>
      </c>
      <c r="J123" s="7" t="s">
        <v>67</v>
      </c>
      <c r="K123" s="7" t="s">
        <v>99</v>
      </c>
      <c r="L123" s="8"/>
      <c r="M123" s="8"/>
      <c r="N123" s="7" t="s">
        <v>69</v>
      </c>
      <c r="O123" s="8"/>
      <c r="P123" s="8"/>
      <c r="Q123" s="9"/>
      <c r="R123" s="8"/>
    </row>
    <row r="124" spans="1:18" ht="25.5" x14ac:dyDescent="0.25">
      <c r="A124" s="10" t="s">
        <v>623</v>
      </c>
      <c r="B124" s="11" t="s">
        <v>624</v>
      </c>
      <c r="C124" s="10" t="s">
        <v>61</v>
      </c>
      <c r="D124" s="12"/>
      <c r="E124" s="6" t="s">
        <v>108</v>
      </c>
      <c r="F124" s="12" t="s">
        <v>625</v>
      </c>
      <c r="G124" s="12" t="s">
        <v>626</v>
      </c>
      <c r="H124" s="12" t="s">
        <v>627</v>
      </c>
      <c r="I124" s="13" t="s">
        <v>66</v>
      </c>
      <c r="J124" s="13" t="s">
        <v>67</v>
      </c>
      <c r="K124" s="13" t="s">
        <v>105</v>
      </c>
      <c r="L124" s="14"/>
      <c r="M124" s="14"/>
      <c r="N124" s="13" t="s">
        <v>69</v>
      </c>
      <c r="O124" s="14"/>
      <c r="P124" s="14"/>
      <c r="Q124" s="15"/>
      <c r="R124" s="14"/>
    </row>
    <row r="125" spans="1:18" ht="25.5" x14ac:dyDescent="0.25">
      <c r="A125" s="3" t="s">
        <v>623</v>
      </c>
      <c r="B125" s="4" t="s">
        <v>628</v>
      </c>
      <c r="C125" s="3" t="s">
        <v>629</v>
      </c>
      <c r="D125" s="5"/>
      <c r="E125" s="6" t="s">
        <v>108</v>
      </c>
      <c r="F125" s="5" t="s">
        <v>630</v>
      </c>
      <c r="G125" s="5" t="s">
        <v>626</v>
      </c>
      <c r="H125" s="5" t="s">
        <v>631</v>
      </c>
      <c r="I125" s="7" t="s">
        <v>66</v>
      </c>
      <c r="J125" s="7" t="s">
        <v>67</v>
      </c>
      <c r="K125" s="7" t="s">
        <v>99</v>
      </c>
      <c r="L125" s="8"/>
      <c r="M125" s="8"/>
      <c r="N125" s="7" t="s">
        <v>69</v>
      </c>
      <c r="O125" s="8"/>
      <c r="P125" s="8"/>
      <c r="Q125" s="9"/>
      <c r="R125" s="8"/>
    </row>
    <row r="126" spans="1:18" ht="25.5" x14ac:dyDescent="0.25">
      <c r="A126" s="10" t="s">
        <v>623</v>
      </c>
      <c r="B126" s="11" t="s">
        <v>632</v>
      </c>
      <c r="C126" s="10" t="s">
        <v>633</v>
      </c>
      <c r="D126" s="12"/>
      <c r="E126" s="6" t="s">
        <v>108</v>
      </c>
      <c r="F126" s="12" t="s">
        <v>634</v>
      </c>
      <c r="G126" s="12" t="s">
        <v>626</v>
      </c>
      <c r="H126" s="12" t="s">
        <v>635</v>
      </c>
      <c r="I126" s="13" t="s">
        <v>66</v>
      </c>
      <c r="J126" s="13" t="s">
        <v>67</v>
      </c>
      <c r="K126" s="13" t="s">
        <v>99</v>
      </c>
      <c r="L126" s="14"/>
      <c r="M126" s="14"/>
      <c r="N126" s="13" t="s">
        <v>69</v>
      </c>
      <c r="O126" s="14"/>
      <c r="P126" s="14"/>
      <c r="Q126" s="15"/>
      <c r="R126" s="14"/>
    </row>
    <row r="127" spans="1:18" ht="25.5" x14ac:dyDescent="0.25">
      <c r="A127" s="3" t="s">
        <v>623</v>
      </c>
      <c r="B127" s="4" t="s">
        <v>636</v>
      </c>
      <c r="C127" s="3" t="s">
        <v>637</v>
      </c>
      <c r="D127" s="5"/>
      <c r="E127" s="6" t="s">
        <v>108</v>
      </c>
      <c r="F127" s="5" t="s">
        <v>638</v>
      </c>
      <c r="G127" s="5" t="s">
        <v>626</v>
      </c>
      <c r="H127" s="5" t="s">
        <v>639</v>
      </c>
      <c r="I127" s="7" t="s">
        <v>66</v>
      </c>
      <c r="J127" s="7" t="s">
        <v>67</v>
      </c>
      <c r="K127" s="7" t="s">
        <v>99</v>
      </c>
      <c r="L127" s="8"/>
      <c r="M127" s="8"/>
      <c r="N127" s="7" t="s">
        <v>69</v>
      </c>
      <c r="O127" s="8"/>
      <c r="P127" s="8"/>
      <c r="Q127" s="9"/>
      <c r="R127" s="8"/>
    </row>
    <row r="128" spans="1:18" ht="25.5" x14ac:dyDescent="0.25">
      <c r="A128" s="10" t="s">
        <v>623</v>
      </c>
      <c r="B128" s="11" t="s">
        <v>640</v>
      </c>
      <c r="C128" s="10" t="s">
        <v>641</v>
      </c>
      <c r="D128" s="12"/>
      <c r="E128" s="6" t="s">
        <v>108</v>
      </c>
      <c r="F128" s="12" t="s">
        <v>642</v>
      </c>
      <c r="G128" s="12" t="s">
        <v>626</v>
      </c>
      <c r="H128" s="12" t="s">
        <v>643</v>
      </c>
      <c r="I128" s="13" t="s">
        <v>66</v>
      </c>
      <c r="J128" s="13" t="s">
        <v>67</v>
      </c>
      <c r="K128" s="13" t="s">
        <v>99</v>
      </c>
      <c r="L128" s="14"/>
      <c r="M128" s="14"/>
      <c r="N128" s="13" t="s">
        <v>69</v>
      </c>
      <c r="O128" s="14"/>
      <c r="P128" s="14"/>
      <c r="Q128" s="15"/>
      <c r="R128" s="14"/>
    </row>
    <row r="129" spans="1:18" ht="25.5" x14ac:dyDescent="0.25">
      <c r="A129" s="3" t="s">
        <v>623</v>
      </c>
      <c r="B129" s="4" t="s">
        <v>644</v>
      </c>
      <c r="C129" s="3" t="s">
        <v>645</v>
      </c>
      <c r="D129" s="5"/>
      <c r="E129" s="6" t="s">
        <v>108</v>
      </c>
      <c r="F129" s="5" t="s">
        <v>646</v>
      </c>
      <c r="G129" s="5" t="s">
        <v>626</v>
      </c>
      <c r="H129" s="5" t="s">
        <v>647</v>
      </c>
      <c r="I129" s="7" t="s">
        <v>66</v>
      </c>
      <c r="J129" s="7" t="s">
        <v>67</v>
      </c>
      <c r="K129" s="7" t="s">
        <v>99</v>
      </c>
      <c r="L129" s="8"/>
      <c r="M129" s="8"/>
      <c r="N129" s="7" t="s">
        <v>69</v>
      </c>
      <c r="O129" s="8"/>
      <c r="P129" s="8"/>
      <c r="Q129" s="9"/>
      <c r="R129" s="8"/>
    </row>
    <row r="130" spans="1:18" ht="25.5" x14ac:dyDescent="0.25">
      <c r="A130" s="10" t="s">
        <v>623</v>
      </c>
      <c r="B130" s="11" t="s">
        <v>648</v>
      </c>
      <c r="C130" s="10" t="s">
        <v>649</v>
      </c>
      <c r="D130" s="12"/>
      <c r="E130" s="6" t="s">
        <v>108</v>
      </c>
      <c r="F130" s="12" t="s">
        <v>650</v>
      </c>
      <c r="G130" s="12" t="s">
        <v>626</v>
      </c>
      <c r="H130" s="12" t="s">
        <v>651</v>
      </c>
      <c r="I130" s="13" t="s">
        <v>66</v>
      </c>
      <c r="J130" s="13" t="s">
        <v>67</v>
      </c>
      <c r="K130" s="13" t="s">
        <v>99</v>
      </c>
      <c r="L130" s="14"/>
      <c r="M130" s="14"/>
      <c r="N130" s="13" t="s">
        <v>69</v>
      </c>
      <c r="O130" s="14"/>
      <c r="P130" s="14"/>
      <c r="Q130" s="15"/>
      <c r="R130" s="14"/>
    </row>
    <row r="131" spans="1:18" ht="25.5" x14ac:dyDescent="0.25">
      <c r="A131" s="3" t="s">
        <v>623</v>
      </c>
      <c r="B131" s="4" t="s">
        <v>652</v>
      </c>
      <c r="C131" s="3" t="s">
        <v>653</v>
      </c>
      <c r="D131" s="5"/>
      <c r="E131" s="6" t="s">
        <v>108</v>
      </c>
      <c r="F131" s="5" t="s">
        <v>654</v>
      </c>
      <c r="G131" s="5" t="s">
        <v>626</v>
      </c>
      <c r="H131" s="5" t="s">
        <v>655</v>
      </c>
      <c r="I131" s="7" t="s">
        <v>66</v>
      </c>
      <c r="J131" s="7" t="s">
        <v>67</v>
      </c>
      <c r="K131" s="7" t="s">
        <v>99</v>
      </c>
      <c r="L131" s="8"/>
      <c r="M131" s="8"/>
      <c r="N131" s="7" t="s">
        <v>69</v>
      </c>
      <c r="O131" s="8"/>
      <c r="P131" s="8"/>
      <c r="Q131" s="9"/>
      <c r="R131" s="8"/>
    </row>
    <row r="132" spans="1:18" ht="25.5" x14ac:dyDescent="0.25">
      <c r="A132" s="10" t="s">
        <v>623</v>
      </c>
      <c r="B132" s="11" t="s">
        <v>656</v>
      </c>
      <c r="C132" s="10" t="s">
        <v>657</v>
      </c>
      <c r="D132" s="12"/>
      <c r="E132" s="6" t="s">
        <v>108</v>
      </c>
      <c r="F132" s="12" t="s">
        <v>658</v>
      </c>
      <c r="G132" s="12" t="s">
        <v>659</v>
      </c>
      <c r="H132" s="12" t="s">
        <v>660</v>
      </c>
      <c r="I132" s="13" t="s">
        <v>66</v>
      </c>
      <c r="J132" s="13" t="s">
        <v>67</v>
      </c>
      <c r="K132" s="13" t="s">
        <v>99</v>
      </c>
      <c r="L132" s="14"/>
      <c r="M132" s="14"/>
      <c r="N132" s="13" t="s">
        <v>69</v>
      </c>
      <c r="O132" s="14"/>
      <c r="P132" s="14"/>
      <c r="Q132" s="15"/>
      <c r="R132" s="14"/>
    </row>
    <row r="133" spans="1:18" ht="25.5" x14ac:dyDescent="0.25">
      <c r="A133" s="3" t="s">
        <v>623</v>
      </c>
      <c r="B133" s="4" t="s">
        <v>661</v>
      </c>
      <c r="C133" s="3" t="s">
        <v>662</v>
      </c>
      <c r="D133" s="5"/>
      <c r="E133" s="6" t="s">
        <v>108</v>
      </c>
      <c r="F133" s="5" t="s">
        <v>663</v>
      </c>
      <c r="G133" s="5" t="s">
        <v>626</v>
      </c>
      <c r="H133" s="5" t="s">
        <v>664</v>
      </c>
      <c r="I133" s="7" t="s">
        <v>66</v>
      </c>
      <c r="J133" s="7" t="s">
        <v>67</v>
      </c>
      <c r="K133" s="7" t="s">
        <v>99</v>
      </c>
      <c r="L133" s="8"/>
      <c r="M133" s="8"/>
      <c r="N133" s="7" t="s">
        <v>69</v>
      </c>
      <c r="O133" s="8"/>
      <c r="P133" s="8"/>
      <c r="Q133" s="9"/>
      <c r="R133" s="8"/>
    </row>
    <row r="134" spans="1:18" ht="25.5" x14ac:dyDescent="0.25">
      <c r="A134" s="10" t="s">
        <v>623</v>
      </c>
      <c r="B134" s="11" t="s">
        <v>665</v>
      </c>
      <c r="C134" s="10" t="s">
        <v>666</v>
      </c>
      <c r="D134" s="12"/>
      <c r="E134" s="6" t="s">
        <v>108</v>
      </c>
      <c r="F134" s="12" t="s">
        <v>667</v>
      </c>
      <c r="G134" s="12" t="s">
        <v>659</v>
      </c>
      <c r="H134" s="12" t="s">
        <v>668</v>
      </c>
      <c r="I134" s="13" t="s">
        <v>66</v>
      </c>
      <c r="J134" s="13" t="s">
        <v>67</v>
      </c>
      <c r="K134" s="13" t="s">
        <v>99</v>
      </c>
      <c r="L134" s="14"/>
      <c r="M134" s="14"/>
      <c r="N134" s="13" t="s">
        <v>69</v>
      </c>
      <c r="O134" s="14"/>
      <c r="P134" s="14"/>
      <c r="Q134" s="15"/>
      <c r="R134" s="14"/>
    </row>
    <row r="135" spans="1:18" ht="25.5" x14ac:dyDescent="0.25">
      <c r="A135" s="3" t="s">
        <v>623</v>
      </c>
      <c r="B135" s="4" t="s">
        <v>669</v>
      </c>
      <c r="C135" s="3" t="s">
        <v>670</v>
      </c>
      <c r="D135" s="5"/>
      <c r="E135" s="6" t="s">
        <v>108</v>
      </c>
      <c r="F135" s="5" t="s">
        <v>671</v>
      </c>
      <c r="G135" s="5" t="s">
        <v>626</v>
      </c>
      <c r="H135" s="5" t="s">
        <v>672</v>
      </c>
      <c r="I135" s="7" t="s">
        <v>66</v>
      </c>
      <c r="J135" s="7" t="s">
        <v>67</v>
      </c>
      <c r="K135" s="7" t="s">
        <v>105</v>
      </c>
      <c r="L135" s="8"/>
      <c r="M135" s="8"/>
      <c r="N135" s="7" t="s">
        <v>69</v>
      </c>
      <c r="O135" s="8"/>
      <c r="P135" s="8"/>
      <c r="Q135" s="9"/>
      <c r="R135" s="8"/>
    </row>
    <row r="136" spans="1:18" ht="25.5" x14ac:dyDescent="0.25">
      <c r="A136" s="10" t="s">
        <v>623</v>
      </c>
      <c r="B136" s="11" t="s">
        <v>673</v>
      </c>
      <c r="C136" s="10" t="s">
        <v>674</v>
      </c>
      <c r="D136" s="12"/>
      <c r="E136" s="6" t="s">
        <v>108</v>
      </c>
      <c r="F136" s="12" t="s">
        <v>675</v>
      </c>
      <c r="G136" s="12" t="s">
        <v>626</v>
      </c>
      <c r="H136" s="12" t="s">
        <v>676</v>
      </c>
      <c r="I136" s="13" t="s">
        <v>66</v>
      </c>
      <c r="J136" s="13" t="s">
        <v>67</v>
      </c>
      <c r="K136" s="13" t="s">
        <v>99</v>
      </c>
      <c r="L136" s="14"/>
      <c r="M136" s="14"/>
      <c r="N136" s="13" t="s">
        <v>69</v>
      </c>
      <c r="O136" s="14"/>
      <c r="P136" s="14"/>
      <c r="Q136" s="15"/>
      <c r="R136" s="14"/>
    </row>
    <row r="137" spans="1:18" ht="25.5" x14ac:dyDescent="0.25">
      <c r="A137" s="3" t="s">
        <v>623</v>
      </c>
      <c r="B137" s="4" t="s">
        <v>677</v>
      </c>
      <c r="C137" s="3" t="s">
        <v>678</v>
      </c>
      <c r="D137" s="5"/>
      <c r="E137" s="6" t="s">
        <v>108</v>
      </c>
      <c r="F137" s="5" t="s">
        <v>679</v>
      </c>
      <c r="G137" s="5" t="s">
        <v>626</v>
      </c>
      <c r="H137" s="5" t="s">
        <v>680</v>
      </c>
      <c r="I137" s="7" t="s">
        <v>66</v>
      </c>
      <c r="J137" s="7" t="s">
        <v>67</v>
      </c>
      <c r="K137" s="7" t="s">
        <v>99</v>
      </c>
      <c r="L137" s="8"/>
      <c r="M137" s="8"/>
      <c r="N137" s="7" t="s">
        <v>69</v>
      </c>
      <c r="O137" s="8"/>
      <c r="P137" s="8"/>
      <c r="Q137" s="9"/>
      <c r="R137" s="8"/>
    </row>
    <row r="138" spans="1:18" ht="25.5" x14ac:dyDescent="0.25">
      <c r="A138" s="10" t="s">
        <v>623</v>
      </c>
      <c r="B138" s="11" t="s">
        <v>681</v>
      </c>
      <c r="C138" s="10" t="s">
        <v>682</v>
      </c>
      <c r="D138" s="12"/>
      <c r="E138" s="6" t="s">
        <v>108</v>
      </c>
      <c r="F138" s="12" t="s">
        <v>683</v>
      </c>
      <c r="G138" s="12" t="s">
        <v>626</v>
      </c>
      <c r="H138" s="12" t="s">
        <v>684</v>
      </c>
      <c r="I138" s="13" t="s">
        <v>66</v>
      </c>
      <c r="J138" s="13" t="s">
        <v>67</v>
      </c>
      <c r="K138" s="13" t="s">
        <v>99</v>
      </c>
      <c r="L138" s="14"/>
      <c r="M138" s="14"/>
      <c r="N138" s="13" t="s">
        <v>69</v>
      </c>
      <c r="O138" s="14"/>
      <c r="P138" s="14"/>
      <c r="Q138" s="15"/>
      <c r="R138" s="14"/>
    </row>
    <row r="139" spans="1:18" ht="25.5" x14ac:dyDescent="0.25">
      <c r="A139" s="3" t="s">
        <v>623</v>
      </c>
      <c r="B139" s="4" t="s">
        <v>685</v>
      </c>
      <c r="C139" s="3" t="s">
        <v>686</v>
      </c>
      <c r="D139" s="5"/>
      <c r="E139" s="6" t="s">
        <v>108</v>
      </c>
      <c r="F139" s="5" t="s">
        <v>687</v>
      </c>
      <c r="G139" s="5" t="s">
        <v>626</v>
      </c>
      <c r="H139" s="5" t="s">
        <v>688</v>
      </c>
      <c r="I139" s="7" t="s">
        <v>66</v>
      </c>
      <c r="J139" s="7" t="s">
        <v>67</v>
      </c>
      <c r="K139" s="7" t="s">
        <v>99</v>
      </c>
      <c r="L139" s="8"/>
      <c r="M139" s="8"/>
      <c r="N139" s="7" t="s">
        <v>69</v>
      </c>
      <c r="O139" s="8"/>
      <c r="P139" s="8"/>
      <c r="Q139" s="9"/>
      <c r="R139" s="8"/>
    </row>
    <row r="140" spans="1:18" ht="25.5" x14ac:dyDescent="0.25">
      <c r="A140" s="10" t="s">
        <v>623</v>
      </c>
      <c r="B140" s="11" t="s">
        <v>689</v>
      </c>
      <c r="C140" s="10" t="s">
        <v>690</v>
      </c>
      <c r="D140" s="12"/>
      <c r="E140" s="6" t="s">
        <v>108</v>
      </c>
      <c r="F140" s="12" t="s">
        <v>691</v>
      </c>
      <c r="G140" s="12" t="s">
        <v>692</v>
      </c>
      <c r="H140" s="12" t="s">
        <v>693</v>
      </c>
      <c r="I140" s="13" t="s">
        <v>66</v>
      </c>
      <c r="J140" s="13" t="s">
        <v>67</v>
      </c>
      <c r="K140" s="13" t="s">
        <v>99</v>
      </c>
      <c r="L140" s="14"/>
      <c r="M140" s="14"/>
      <c r="N140" s="13" t="s">
        <v>69</v>
      </c>
      <c r="O140" s="14"/>
      <c r="P140" s="14"/>
      <c r="Q140" s="15"/>
      <c r="R140" s="14"/>
    </row>
    <row r="141" spans="1:18" ht="25.5" x14ac:dyDescent="0.25">
      <c r="A141" s="3" t="s">
        <v>623</v>
      </c>
      <c r="B141" s="4" t="s">
        <v>694</v>
      </c>
      <c r="C141" s="3" t="s">
        <v>695</v>
      </c>
      <c r="D141" s="5"/>
      <c r="E141" s="6" t="s">
        <v>108</v>
      </c>
      <c r="F141" s="5" t="s">
        <v>696</v>
      </c>
      <c r="G141" s="5" t="s">
        <v>626</v>
      </c>
      <c r="H141" s="5" t="s">
        <v>697</v>
      </c>
      <c r="I141" s="7" t="s">
        <v>66</v>
      </c>
      <c r="J141" s="7" t="s">
        <v>67</v>
      </c>
      <c r="K141" s="7" t="s">
        <v>105</v>
      </c>
      <c r="L141" s="8"/>
      <c r="M141" s="8"/>
      <c r="N141" s="7" t="s">
        <v>69</v>
      </c>
      <c r="O141" s="8"/>
      <c r="P141" s="8"/>
      <c r="Q141" s="9"/>
      <c r="R141" s="8"/>
    </row>
    <row r="142" spans="1:18" ht="25.5" x14ac:dyDescent="0.25">
      <c r="A142" s="10" t="s">
        <v>623</v>
      </c>
      <c r="B142" s="11" t="s">
        <v>698</v>
      </c>
      <c r="C142" s="10" t="s">
        <v>699</v>
      </c>
      <c r="D142" s="12"/>
      <c r="E142" s="6" t="s">
        <v>108</v>
      </c>
      <c r="F142" s="12" t="s">
        <v>700</v>
      </c>
      <c r="G142" s="12" t="s">
        <v>626</v>
      </c>
      <c r="H142" s="12" t="s">
        <v>701</v>
      </c>
      <c r="I142" s="13" t="s">
        <v>66</v>
      </c>
      <c r="J142" s="13" t="s">
        <v>67</v>
      </c>
      <c r="K142" s="13" t="s">
        <v>99</v>
      </c>
      <c r="L142" s="14"/>
      <c r="M142" s="14"/>
      <c r="N142" s="13" t="s">
        <v>69</v>
      </c>
      <c r="O142" s="14"/>
      <c r="P142" s="14"/>
      <c r="Q142" s="15"/>
      <c r="R142" s="14"/>
    </row>
    <row r="143" spans="1:18" ht="25.5" x14ac:dyDescent="0.25">
      <c r="A143" s="3" t="s">
        <v>623</v>
      </c>
      <c r="B143" s="4" t="s">
        <v>702</v>
      </c>
      <c r="C143" s="3" t="s">
        <v>703</v>
      </c>
      <c r="D143" s="5"/>
      <c r="E143" s="6" t="s">
        <v>108</v>
      </c>
      <c r="F143" s="5" t="s">
        <v>704</v>
      </c>
      <c r="G143" s="5" t="s">
        <v>364</v>
      </c>
      <c r="H143" s="5" t="s">
        <v>705</v>
      </c>
      <c r="I143" s="7" t="s">
        <v>66</v>
      </c>
      <c r="J143" s="7" t="s">
        <v>67</v>
      </c>
      <c r="K143" s="7" t="s">
        <v>105</v>
      </c>
      <c r="L143" s="8"/>
      <c r="M143" s="8"/>
      <c r="N143" s="7" t="s">
        <v>69</v>
      </c>
      <c r="O143" s="8"/>
      <c r="P143" s="8"/>
      <c r="Q143" s="9"/>
      <c r="R143" s="8"/>
    </row>
    <row r="144" spans="1:18" ht="25.5" x14ac:dyDescent="0.25">
      <c r="A144" s="10" t="s">
        <v>623</v>
      </c>
      <c r="B144" s="11" t="s">
        <v>706</v>
      </c>
      <c r="C144" s="10" t="s">
        <v>707</v>
      </c>
      <c r="D144" s="12"/>
      <c r="E144" s="6" t="s">
        <v>108</v>
      </c>
      <c r="F144" s="12" t="s">
        <v>708</v>
      </c>
      <c r="G144" s="12" t="s">
        <v>626</v>
      </c>
      <c r="H144" s="12" t="s">
        <v>709</v>
      </c>
      <c r="I144" s="13" t="s">
        <v>66</v>
      </c>
      <c r="J144" s="13" t="s">
        <v>67</v>
      </c>
      <c r="K144" s="13" t="s">
        <v>105</v>
      </c>
      <c r="L144" s="14"/>
      <c r="M144" s="14"/>
      <c r="N144" s="13" t="s">
        <v>69</v>
      </c>
      <c r="O144" s="14"/>
      <c r="P144" s="14"/>
      <c r="Q144" s="15"/>
      <c r="R144" s="14"/>
    </row>
    <row r="145" spans="1:18" ht="25.5" x14ac:dyDescent="0.25">
      <c r="A145" s="3" t="s">
        <v>623</v>
      </c>
      <c r="B145" s="4" t="s">
        <v>710</v>
      </c>
      <c r="C145" s="3" t="s">
        <v>711</v>
      </c>
      <c r="D145" s="5"/>
      <c r="E145" s="6" t="s">
        <v>108</v>
      </c>
      <c r="F145" s="5" t="s">
        <v>712</v>
      </c>
      <c r="G145" s="5" t="s">
        <v>364</v>
      </c>
      <c r="H145" s="5" t="s">
        <v>713</v>
      </c>
      <c r="I145" s="7" t="s">
        <v>66</v>
      </c>
      <c r="J145" s="7" t="s">
        <v>67</v>
      </c>
      <c r="K145" s="7" t="s">
        <v>105</v>
      </c>
      <c r="L145" s="8"/>
      <c r="M145" s="8"/>
      <c r="N145" s="7" t="s">
        <v>69</v>
      </c>
      <c r="O145" s="8"/>
      <c r="P145" s="8"/>
      <c r="Q145" s="9"/>
      <c r="R145" s="8"/>
    </row>
    <row r="146" spans="1:18" ht="25.5" x14ac:dyDescent="0.25">
      <c r="A146" s="10" t="s">
        <v>623</v>
      </c>
      <c r="B146" s="11" t="s">
        <v>714</v>
      </c>
      <c r="C146" s="10" t="s">
        <v>715</v>
      </c>
      <c r="D146" s="12"/>
      <c r="E146" s="6" t="s">
        <v>108</v>
      </c>
      <c r="F146" s="12" t="s">
        <v>716</v>
      </c>
      <c r="G146" s="12" t="s">
        <v>626</v>
      </c>
      <c r="H146" s="12" t="s">
        <v>717</v>
      </c>
      <c r="I146" s="13" t="s">
        <v>66</v>
      </c>
      <c r="J146" s="13" t="s">
        <v>67</v>
      </c>
      <c r="K146" s="13" t="s">
        <v>105</v>
      </c>
      <c r="L146" s="14"/>
      <c r="M146" s="14"/>
      <c r="N146" s="13" t="s">
        <v>69</v>
      </c>
      <c r="O146" s="14"/>
      <c r="P146" s="14"/>
      <c r="Q146" s="15"/>
      <c r="R146" s="14"/>
    </row>
    <row r="147" spans="1:18" x14ac:dyDescent="0.25">
      <c r="A147" s="3" t="s">
        <v>718</v>
      </c>
      <c r="B147" s="4" t="s">
        <v>719</v>
      </c>
      <c r="C147" s="3" t="s">
        <v>61</v>
      </c>
      <c r="D147" s="5"/>
      <c r="E147" s="6" t="s">
        <v>62</v>
      </c>
      <c r="F147" s="5" t="s">
        <v>720</v>
      </c>
      <c r="G147" s="5" t="s">
        <v>721</v>
      </c>
      <c r="H147" s="5" t="s">
        <v>722</v>
      </c>
      <c r="I147" s="7" t="s">
        <v>66</v>
      </c>
      <c r="J147" s="7" t="s">
        <v>67</v>
      </c>
      <c r="K147" s="7" t="s">
        <v>99</v>
      </c>
      <c r="L147" s="8"/>
      <c r="M147" s="8"/>
      <c r="N147" s="7" t="s">
        <v>69</v>
      </c>
      <c r="O147" s="8"/>
      <c r="P147" s="8"/>
      <c r="Q147" s="9"/>
      <c r="R147" s="8"/>
    </row>
    <row r="148" spans="1:18" x14ac:dyDescent="0.25">
      <c r="A148" s="10" t="s">
        <v>718</v>
      </c>
      <c r="B148" s="11" t="s">
        <v>723</v>
      </c>
      <c r="C148" s="10" t="s">
        <v>724</v>
      </c>
      <c r="D148" s="12"/>
      <c r="E148" s="6" t="s">
        <v>62</v>
      </c>
      <c r="F148" s="12" t="s">
        <v>725</v>
      </c>
      <c r="G148" s="12" t="s">
        <v>726</v>
      </c>
      <c r="H148" s="12" t="s">
        <v>727</v>
      </c>
      <c r="I148" s="13" t="s">
        <v>66</v>
      </c>
      <c r="J148" s="13" t="s">
        <v>67</v>
      </c>
      <c r="K148" s="13" t="s">
        <v>68</v>
      </c>
      <c r="L148" s="14"/>
      <c r="M148" s="14"/>
      <c r="N148" s="13" t="s">
        <v>69</v>
      </c>
      <c r="O148" s="14"/>
      <c r="P148" s="14"/>
      <c r="Q148" s="15"/>
      <c r="R148" s="14"/>
    </row>
    <row r="149" spans="1:18" x14ac:dyDescent="0.25">
      <c r="A149" s="3" t="s">
        <v>718</v>
      </c>
      <c r="B149" s="4" t="s">
        <v>728</v>
      </c>
      <c r="C149" s="3" t="s">
        <v>729</v>
      </c>
      <c r="D149" s="5"/>
      <c r="E149" s="6" t="s">
        <v>62</v>
      </c>
      <c r="F149" s="5" t="s">
        <v>413</v>
      </c>
      <c r="G149" s="5" t="s">
        <v>414</v>
      </c>
      <c r="H149" s="5" t="s">
        <v>415</v>
      </c>
      <c r="I149" s="7" t="s">
        <v>66</v>
      </c>
      <c r="J149" s="7" t="s">
        <v>67</v>
      </c>
      <c r="K149" s="7" t="s">
        <v>99</v>
      </c>
      <c r="L149" s="8"/>
      <c r="M149" s="8"/>
      <c r="N149" s="7" t="s">
        <v>69</v>
      </c>
      <c r="O149" s="8"/>
      <c r="P149" s="8"/>
      <c r="Q149" s="9"/>
      <c r="R149" s="8"/>
    </row>
    <row r="150" spans="1:18" ht="24" x14ac:dyDescent="0.25">
      <c r="A150" s="10" t="s">
        <v>718</v>
      </c>
      <c r="B150" s="11" t="s">
        <v>730</v>
      </c>
      <c r="C150" s="10" t="s">
        <v>731</v>
      </c>
      <c r="D150" s="12"/>
      <c r="E150" s="6" t="s">
        <v>62</v>
      </c>
      <c r="F150" s="12" t="s">
        <v>732</v>
      </c>
      <c r="G150" s="12" t="s">
        <v>103</v>
      </c>
      <c r="H150" s="12" t="s">
        <v>733</v>
      </c>
      <c r="I150" s="13" t="s">
        <v>66</v>
      </c>
      <c r="J150" s="13" t="s">
        <v>67</v>
      </c>
      <c r="K150" s="13" t="s">
        <v>99</v>
      </c>
      <c r="L150" s="14"/>
      <c r="M150" s="14"/>
      <c r="N150" s="13" t="s">
        <v>69</v>
      </c>
      <c r="O150" s="14"/>
      <c r="P150" s="14"/>
      <c r="Q150" s="15"/>
      <c r="R150" s="14"/>
    </row>
    <row r="151" spans="1:18" x14ac:dyDescent="0.25">
      <c r="A151" s="3" t="s">
        <v>718</v>
      </c>
      <c r="B151" s="4" t="s">
        <v>734</v>
      </c>
      <c r="C151" s="3" t="s">
        <v>735</v>
      </c>
      <c r="D151" s="5"/>
      <c r="E151" s="6" t="s">
        <v>62</v>
      </c>
      <c r="F151" s="5" t="s">
        <v>413</v>
      </c>
      <c r="G151" s="5" t="s">
        <v>414</v>
      </c>
      <c r="H151" s="5" t="s">
        <v>415</v>
      </c>
      <c r="I151" s="7" t="s">
        <v>66</v>
      </c>
      <c r="J151" s="7" t="s">
        <v>67</v>
      </c>
      <c r="K151" s="7" t="s">
        <v>99</v>
      </c>
      <c r="L151" s="8"/>
      <c r="M151" s="8"/>
      <c r="N151" s="7" t="s">
        <v>69</v>
      </c>
      <c r="O151" s="8"/>
      <c r="P151" s="8"/>
      <c r="Q151" s="9"/>
      <c r="R151" s="8"/>
    </row>
    <row r="152" spans="1:18" x14ac:dyDescent="0.25">
      <c r="A152" s="10" t="s">
        <v>718</v>
      </c>
      <c r="B152" s="11" t="s">
        <v>736</v>
      </c>
      <c r="C152" s="10" t="s">
        <v>737</v>
      </c>
      <c r="D152" s="12"/>
      <c r="E152" s="6" t="s">
        <v>62</v>
      </c>
      <c r="F152" s="12" t="s">
        <v>413</v>
      </c>
      <c r="G152" s="12" t="s">
        <v>414</v>
      </c>
      <c r="H152" s="12" t="s">
        <v>415</v>
      </c>
      <c r="I152" s="13" t="s">
        <v>66</v>
      </c>
      <c r="J152" s="13" t="s">
        <v>67</v>
      </c>
      <c r="K152" s="13" t="s">
        <v>99</v>
      </c>
      <c r="L152" s="14"/>
      <c r="M152" s="14"/>
      <c r="N152" s="13" t="s">
        <v>69</v>
      </c>
      <c r="O152" s="14"/>
      <c r="P152" s="14"/>
      <c r="Q152" s="15"/>
      <c r="R152" s="14"/>
    </row>
    <row r="153" spans="1:18" x14ac:dyDescent="0.25">
      <c r="A153" s="3" t="s">
        <v>718</v>
      </c>
      <c r="B153" s="4" t="s">
        <v>738</v>
      </c>
      <c r="C153" s="3" t="s">
        <v>739</v>
      </c>
      <c r="D153" s="5"/>
      <c r="E153" s="6" t="s">
        <v>62</v>
      </c>
      <c r="F153" s="5" t="s">
        <v>740</v>
      </c>
      <c r="G153" s="5" t="s">
        <v>721</v>
      </c>
      <c r="H153" s="5" t="s">
        <v>741</v>
      </c>
      <c r="I153" s="7" t="s">
        <v>66</v>
      </c>
      <c r="J153" s="7" t="s">
        <v>67</v>
      </c>
      <c r="K153" s="7" t="s">
        <v>99</v>
      </c>
      <c r="L153" s="8"/>
      <c r="M153" s="8"/>
      <c r="N153" s="7" t="s">
        <v>69</v>
      </c>
      <c r="O153" s="8"/>
      <c r="P153" s="8"/>
      <c r="Q153" s="9"/>
      <c r="R153" s="8"/>
    </row>
    <row r="154" spans="1:18" x14ac:dyDescent="0.25">
      <c r="A154" s="10" t="s">
        <v>718</v>
      </c>
      <c r="B154" s="11" t="s">
        <v>742</v>
      </c>
      <c r="C154" s="10" t="s">
        <v>743</v>
      </c>
      <c r="D154" s="12"/>
      <c r="E154" s="6" t="s">
        <v>62</v>
      </c>
      <c r="F154" s="12" t="s">
        <v>744</v>
      </c>
      <c r="G154" s="12" t="s">
        <v>745</v>
      </c>
      <c r="H154" s="12" t="s">
        <v>746</v>
      </c>
      <c r="I154" s="13" t="s">
        <v>66</v>
      </c>
      <c r="J154" s="13" t="s">
        <v>67</v>
      </c>
      <c r="K154" s="13" t="s">
        <v>68</v>
      </c>
      <c r="L154" s="14"/>
      <c r="M154" s="14"/>
      <c r="N154" s="13" t="s">
        <v>69</v>
      </c>
      <c r="O154" s="14"/>
      <c r="P154" s="14"/>
      <c r="Q154" s="15"/>
      <c r="R154" s="14"/>
    </row>
    <row r="155" spans="1:18" ht="24" x14ac:dyDescent="0.25">
      <c r="A155" s="3" t="s">
        <v>718</v>
      </c>
      <c r="B155" s="4" t="s">
        <v>747</v>
      </c>
      <c r="C155" s="3" t="s">
        <v>748</v>
      </c>
      <c r="D155" s="5"/>
      <c r="E155" s="6" t="s">
        <v>62</v>
      </c>
      <c r="F155" s="5" t="s">
        <v>749</v>
      </c>
      <c r="G155" s="5" t="s">
        <v>750</v>
      </c>
      <c r="H155" s="5" t="s">
        <v>751</v>
      </c>
      <c r="I155" s="7" t="s">
        <v>66</v>
      </c>
      <c r="J155" s="7" t="s">
        <v>67</v>
      </c>
      <c r="K155" s="7" t="s">
        <v>99</v>
      </c>
      <c r="L155" s="8"/>
      <c r="M155" s="8"/>
      <c r="N155" s="7" t="s">
        <v>69</v>
      </c>
      <c r="O155" s="8"/>
      <c r="P155" s="8"/>
      <c r="Q155" s="9"/>
      <c r="R155" s="8"/>
    </row>
    <row r="156" spans="1:18" x14ac:dyDescent="0.25">
      <c r="A156" s="10" t="s">
        <v>718</v>
      </c>
      <c r="B156" s="11" t="s">
        <v>752</v>
      </c>
      <c r="C156" s="10" t="s">
        <v>753</v>
      </c>
      <c r="D156" s="12"/>
      <c r="E156" s="6" t="s">
        <v>62</v>
      </c>
      <c r="F156" s="12" t="s">
        <v>754</v>
      </c>
      <c r="G156" s="12" t="s">
        <v>755</v>
      </c>
      <c r="H156" s="12" t="s">
        <v>756</v>
      </c>
      <c r="I156" s="13" t="s">
        <v>66</v>
      </c>
      <c r="J156" s="13" t="s">
        <v>67</v>
      </c>
      <c r="K156" s="13" t="s">
        <v>99</v>
      </c>
      <c r="L156" s="14"/>
      <c r="M156" s="14"/>
      <c r="N156" s="13" t="s">
        <v>69</v>
      </c>
      <c r="O156" s="14"/>
      <c r="P156" s="14"/>
      <c r="Q156" s="15"/>
      <c r="R156" s="14"/>
    </row>
    <row r="157" spans="1:18" ht="24" x14ac:dyDescent="0.25">
      <c r="A157" s="3" t="s">
        <v>718</v>
      </c>
      <c r="B157" s="4" t="s">
        <v>757</v>
      </c>
      <c r="C157" s="3" t="s">
        <v>758</v>
      </c>
      <c r="D157" s="5"/>
      <c r="E157" s="6" t="s">
        <v>62</v>
      </c>
      <c r="F157" s="5" t="s">
        <v>759</v>
      </c>
      <c r="G157" s="5" t="s">
        <v>721</v>
      </c>
      <c r="H157" s="5" t="s">
        <v>760</v>
      </c>
      <c r="I157" s="7" t="s">
        <v>66</v>
      </c>
      <c r="J157" s="7" t="s">
        <v>67</v>
      </c>
      <c r="K157" s="7" t="s">
        <v>99</v>
      </c>
      <c r="L157" s="8"/>
      <c r="M157" s="8"/>
      <c r="N157" s="7" t="s">
        <v>69</v>
      </c>
      <c r="O157" s="8"/>
      <c r="P157" s="8"/>
      <c r="Q157" s="9"/>
      <c r="R157" s="8"/>
    </row>
    <row r="158" spans="1:18" x14ac:dyDescent="0.25">
      <c r="A158" s="10" t="s">
        <v>761</v>
      </c>
      <c r="B158" s="11" t="s">
        <v>762</v>
      </c>
      <c r="C158" s="10" t="s">
        <v>763</v>
      </c>
      <c r="D158" s="12"/>
      <c r="E158" s="6" t="s">
        <v>62</v>
      </c>
      <c r="F158" s="12" t="s">
        <v>764</v>
      </c>
      <c r="G158" s="12" t="s">
        <v>765</v>
      </c>
      <c r="H158" s="12" t="s">
        <v>766</v>
      </c>
      <c r="I158" s="13" t="s">
        <v>66</v>
      </c>
      <c r="J158" s="13" t="s">
        <v>67</v>
      </c>
      <c r="K158" s="13" t="s">
        <v>99</v>
      </c>
      <c r="L158" s="14"/>
      <c r="M158" s="14"/>
      <c r="N158" s="13" t="s">
        <v>69</v>
      </c>
      <c r="O158" s="14"/>
      <c r="P158" s="14"/>
      <c r="Q158" s="15"/>
      <c r="R158" s="14"/>
    </row>
    <row r="159" spans="1:18" ht="25.5" x14ac:dyDescent="0.25">
      <c r="A159" s="3" t="s">
        <v>761</v>
      </c>
      <c r="B159" s="4" t="s">
        <v>767</v>
      </c>
      <c r="C159" s="3" t="s">
        <v>768</v>
      </c>
      <c r="D159" s="5"/>
      <c r="E159" s="6" t="s">
        <v>62</v>
      </c>
      <c r="F159" s="5" t="s">
        <v>769</v>
      </c>
      <c r="G159" s="5" t="s">
        <v>765</v>
      </c>
      <c r="H159" s="5" t="s">
        <v>770</v>
      </c>
      <c r="I159" s="7" t="s">
        <v>66</v>
      </c>
      <c r="J159" s="7" t="s">
        <v>67</v>
      </c>
      <c r="K159" s="7" t="s">
        <v>99</v>
      </c>
      <c r="L159" s="8"/>
      <c r="M159" s="8"/>
      <c r="N159" s="7" t="s">
        <v>69</v>
      </c>
      <c r="O159" s="8"/>
      <c r="P159" s="8"/>
      <c r="Q159" s="9"/>
      <c r="R159" s="8"/>
    </row>
    <row r="160" spans="1:18" ht="25.5" x14ac:dyDescent="0.25">
      <c r="A160" s="10" t="s">
        <v>761</v>
      </c>
      <c r="B160" s="11" t="s">
        <v>771</v>
      </c>
      <c r="C160" s="10" t="s">
        <v>772</v>
      </c>
      <c r="D160" s="12"/>
      <c r="E160" s="6" t="s">
        <v>62</v>
      </c>
      <c r="F160" s="12" t="s">
        <v>773</v>
      </c>
      <c r="G160" s="12" t="s">
        <v>765</v>
      </c>
      <c r="H160" s="12" t="s">
        <v>774</v>
      </c>
      <c r="I160" s="13" t="s">
        <v>66</v>
      </c>
      <c r="J160" s="13" t="s">
        <v>67</v>
      </c>
      <c r="K160" s="13" t="s">
        <v>99</v>
      </c>
      <c r="L160" s="14"/>
      <c r="M160" s="14"/>
      <c r="N160" s="13" t="s">
        <v>69</v>
      </c>
      <c r="O160" s="14"/>
      <c r="P160" s="14"/>
      <c r="Q160" s="15"/>
      <c r="R160" s="14"/>
    </row>
    <row r="161" spans="1:18" ht="25.5" x14ac:dyDescent="0.25">
      <c r="A161" s="3" t="s">
        <v>761</v>
      </c>
      <c r="B161" s="4" t="s">
        <v>775</v>
      </c>
      <c r="C161" s="3" t="s">
        <v>776</v>
      </c>
      <c r="D161" s="5"/>
      <c r="E161" s="6" t="s">
        <v>62</v>
      </c>
      <c r="F161" s="5" t="s">
        <v>777</v>
      </c>
      <c r="G161" s="5" t="s">
        <v>778</v>
      </c>
      <c r="H161" s="5" t="s">
        <v>779</v>
      </c>
      <c r="I161" s="7" t="s">
        <v>66</v>
      </c>
      <c r="J161" s="7" t="s">
        <v>67</v>
      </c>
      <c r="K161" s="7" t="s">
        <v>68</v>
      </c>
      <c r="L161" s="8"/>
      <c r="M161" s="8"/>
      <c r="N161" s="7" t="s">
        <v>69</v>
      </c>
      <c r="O161" s="8"/>
      <c r="P161" s="8"/>
      <c r="Q161" s="9"/>
      <c r="R161" s="8"/>
    </row>
    <row r="162" spans="1:18" x14ac:dyDescent="0.25">
      <c r="A162" s="10" t="s">
        <v>761</v>
      </c>
      <c r="B162" s="11" t="s">
        <v>780</v>
      </c>
      <c r="C162" s="10" t="s">
        <v>781</v>
      </c>
      <c r="D162" s="12"/>
      <c r="E162" s="6" t="s">
        <v>62</v>
      </c>
      <c r="F162" s="12" t="s">
        <v>782</v>
      </c>
      <c r="G162" s="12" t="s">
        <v>364</v>
      </c>
      <c r="H162" s="12" t="s">
        <v>783</v>
      </c>
      <c r="I162" s="13" t="s">
        <v>66</v>
      </c>
      <c r="J162" s="13" t="s">
        <v>67</v>
      </c>
      <c r="K162" s="13" t="s">
        <v>99</v>
      </c>
      <c r="L162" s="14"/>
      <c r="M162" s="14"/>
      <c r="N162" s="13" t="s">
        <v>69</v>
      </c>
      <c r="O162" s="14"/>
      <c r="P162" s="14"/>
      <c r="Q162" s="15"/>
      <c r="R162" s="14"/>
    </row>
    <row r="163" spans="1:18" ht="24" x14ac:dyDescent="0.25">
      <c r="A163" s="3" t="s">
        <v>761</v>
      </c>
      <c r="B163" s="4" t="s">
        <v>784</v>
      </c>
      <c r="C163" s="3" t="s">
        <v>785</v>
      </c>
      <c r="D163" s="5"/>
      <c r="E163" s="6" t="s">
        <v>62</v>
      </c>
      <c r="F163" s="5" t="s">
        <v>786</v>
      </c>
      <c r="G163" s="5" t="s">
        <v>765</v>
      </c>
      <c r="H163" s="5" t="s">
        <v>787</v>
      </c>
      <c r="I163" s="7" t="s">
        <v>66</v>
      </c>
      <c r="J163" s="7" t="s">
        <v>67</v>
      </c>
      <c r="K163" s="7" t="s">
        <v>99</v>
      </c>
      <c r="L163" s="8"/>
      <c r="M163" s="8"/>
      <c r="N163" s="7" t="s">
        <v>69</v>
      </c>
      <c r="O163" s="8"/>
      <c r="P163" s="8"/>
      <c r="Q163" s="9"/>
      <c r="R163" s="8"/>
    </row>
    <row r="164" spans="1:18" x14ac:dyDescent="0.25">
      <c r="A164" s="10" t="s">
        <v>761</v>
      </c>
      <c r="B164" s="11" t="s">
        <v>788</v>
      </c>
      <c r="C164" s="10" t="s">
        <v>789</v>
      </c>
      <c r="D164" s="12"/>
      <c r="E164" s="6" t="s">
        <v>62</v>
      </c>
      <c r="F164" s="12" t="s">
        <v>790</v>
      </c>
      <c r="G164" s="12" t="s">
        <v>791</v>
      </c>
      <c r="H164" s="12" t="s">
        <v>792</v>
      </c>
      <c r="I164" s="13" t="s">
        <v>66</v>
      </c>
      <c r="J164" s="13" t="s">
        <v>67</v>
      </c>
      <c r="K164" s="13" t="s">
        <v>99</v>
      </c>
      <c r="L164" s="14"/>
      <c r="M164" s="14"/>
      <c r="N164" s="13" t="s">
        <v>69</v>
      </c>
      <c r="O164" s="14"/>
      <c r="P164" s="14"/>
      <c r="Q164" s="15"/>
      <c r="R164" s="14"/>
    </row>
    <row r="165" spans="1:18" x14ac:dyDescent="0.25">
      <c r="A165" s="3" t="s">
        <v>761</v>
      </c>
      <c r="B165" s="4" t="s">
        <v>793</v>
      </c>
      <c r="C165" s="3" t="s">
        <v>794</v>
      </c>
      <c r="D165" s="5"/>
      <c r="E165" s="6" t="s">
        <v>62</v>
      </c>
      <c r="F165" s="5" t="s">
        <v>795</v>
      </c>
      <c r="G165" s="5" t="s">
        <v>796</v>
      </c>
      <c r="H165" s="5" t="s">
        <v>797</v>
      </c>
      <c r="I165" s="7" t="s">
        <v>66</v>
      </c>
      <c r="J165" s="7" t="s">
        <v>67</v>
      </c>
      <c r="K165" s="7" t="s">
        <v>68</v>
      </c>
      <c r="L165" s="8"/>
      <c r="M165" s="8"/>
      <c r="N165" s="7" t="s">
        <v>69</v>
      </c>
      <c r="O165" s="8"/>
      <c r="P165" s="8"/>
      <c r="Q165" s="9"/>
      <c r="R165" s="8"/>
    </row>
    <row r="166" spans="1:18" ht="24" x14ac:dyDescent="0.25">
      <c r="A166" s="10" t="s">
        <v>761</v>
      </c>
      <c r="B166" s="11" t="s">
        <v>798</v>
      </c>
      <c r="C166" s="10" t="s">
        <v>799</v>
      </c>
      <c r="D166" s="12"/>
      <c r="E166" s="6" t="s">
        <v>62</v>
      </c>
      <c r="F166" s="12" t="s">
        <v>800</v>
      </c>
      <c r="G166" s="12" t="s">
        <v>301</v>
      </c>
      <c r="H166" s="12" t="s">
        <v>801</v>
      </c>
      <c r="I166" s="13" t="s">
        <v>66</v>
      </c>
      <c r="J166" s="13" t="s">
        <v>67</v>
      </c>
      <c r="K166" s="13" t="s">
        <v>68</v>
      </c>
      <c r="L166" s="14"/>
      <c r="M166" s="14"/>
      <c r="N166" s="13" t="s">
        <v>69</v>
      </c>
      <c r="O166" s="14"/>
      <c r="P166" s="14"/>
      <c r="Q166" s="15"/>
      <c r="R166" s="14"/>
    </row>
    <row r="167" spans="1:18" x14ac:dyDescent="0.25">
      <c r="A167" s="3" t="s">
        <v>761</v>
      </c>
      <c r="B167" s="4" t="s">
        <v>802</v>
      </c>
      <c r="C167" s="3" t="s">
        <v>803</v>
      </c>
      <c r="D167" s="5"/>
      <c r="E167" s="6" t="s">
        <v>62</v>
      </c>
      <c r="F167" s="5" t="s">
        <v>804</v>
      </c>
      <c r="G167" s="5" t="s">
        <v>310</v>
      </c>
      <c r="H167" s="5" t="s">
        <v>805</v>
      </c>
      <c r="I167" s="7" t="s">
        <v>66</v>
      </c>
      <c r="J167" s="7" t="s">
        <v>67</v>
      </c>
      <c r="K167" s="7" t="s">
        <v>68</v>
      </c>
      <c r="L167" s="8"/>
      <c r="M167" s="8"/>
      <c r="N167" s="7" t="s">
        <v>69</v>
      </c>
      <c r="O167" s="8"/>
      <c r="P167" s="8"/>
      <c r="Q167" s="9"/>
      <c r="R167" s="8"/>
    </row>
    <row r="168" spans="1:18" ht="25.5" x14ac:dyDescent="0.25">
      <c r="A168" s="10" t="s">
        <v>761</v>
      </c>
      <c r="B168" s="11" t="s">
        <v>806</v>
      </c>
      <c r="C168" s="10" t="s">
        <v>807</v>
      </c>
      <c r="D168" s="12"/>
      <c r="E168" s="6" t="s">
        <v>62</v>
      </c>
      <c r="F168" s="12" t="s">
        <v>808</v>
      </c>
      <c r="G168" s="12" t="s">
        <v>809</v>
      </c>
      <c r="H168" s="12" t="s">
        <v>810</v>
      </c>
      <c r="I168" s="13" t="s">
        <v>66</v>
      </c>
      <c r="J168" s="13" t="s">
        <v>67</v>
      </c>
      <c r="K168" s="13" t="s">
        <v>99</v>
      </c>
      <c r="L168" s="14"/>
      <c r="M168" s="14"/>
      <c r="N168" s="13" t="s">
        <v>69</v>
      </c>
      <c r="O168" s="14"/>
      <c r="P168" s="14"/>
      <c r="Q168" s="15"/>
      <c r="R168" s="14"/>
    </row>
    <row r="169" spans="1:18" ht="24" x14ac:dyDescent="0.25">
      <c r="A169" s="3" t="s">
        <v>761</v>
      </c>
      <c r="B169" s="4" t="s">
        <v>811</v>
      </c>
      <c r="C169" s="3" t="s">
        <v>812</v>
      </c>
      <c r="D169" s="5"/>
      <c r="E169" s="6" t="s">
        <v>62</v>
      </c>
      <c r="F169" s="5" t="s">
        <v>813</v>
      </c>
      <c r="G169" s="5" t="s">
        <v>814</v>
      </c>
      <c r="H169" s="5" t="s">
        <v>815</v>
      </c>
      <c r="I169" s="7" t="s">
        <v>66</v>
      </c>
      <c r="J169" s="7" t="s">
        <v>67</v>
      </c>
      <c r="K169" s="7" t="s">
        <v>99</v>
      </c>
      <c r="L169" s="8"/>
      <c r="M169" s="8"/>
      <c r="N169" s="7" t="s">
        <v>69</v>
      </c>
      <c r="O169" s="8"/>
      <c r="P169" s="8"/>
      <c r="Q169" s="9"/>
      <c r="R169" s="8"/>
    </row>
    <row r="170" spans="1:18" x14ac:dyDescent="0.25">
      <c r="A170" s="10" t="s">
        <v>761</v>
      </c>
      <c r="B170" s="11" t="s">
        <v>816</v>
      </c>
      <c r="C170" s="10" t="s">
        <v>817</v>
      </c>
      <c r="D170" s="12"/>
      <c r="E170" s="6" t="s">
        <v>62</v>
      </c>
      <c r="F170" s="12" t="s">
        <v>818</v>
      </c>
      <c r="G170" s="12" t="s">
        <v>187</v>
      </c>
      <c r="H170" s="12" t="s">
        <v>819</v>
      </c>
      <c r="I170" s="13" t="s">
        <v>66</v>
      </c>
      <c r="J170" s="13" t="s">
        <v>67</v>
      </c>
      <c r="K170" s="13" t="s">
        <v>99</v>
      </c>
      <c r="L170" s="14"/>
      <c r="M170" s="14"/>
      <c r="N170" s="13" t="s">
        <v>69</v>
      </c>
      <c r="O170" s="14"/>
      <c r="P170" s="14"/>
      <c r="Q170" s="15"/>
      <c r="R170" s="14"/>
    </row>
    <row r="171" spans="1:18" ht="24" x14ac:dyDescent="0.25">
      <c r="A171" s="3" t="s">
        <v>761</v>
      </c>
      <c r="B171" s="4" t="s">
        <v>820</v>
      </c>
      <c r="C171" s="3" t="s">
        <v>821</v>
      </c>
      <c r="D171" s="5"/>
      <c r="E171" s="6" t="s">
        <v>62</v>
      </c>
      <c r="F171" s="5" t="s">
        <v>822</v>
      </c>
      <c r="G171" s="5" t="s">
        <v>823</v>
      </c>
      <c r="H171" s="5" t="s">
        <v>824</v>
      </c>
      <c r="I171" s="7" t="s">
        <v>66</v>
      </c>
      <c r="J171" s="7" t="s">
        <v>67</v>
      </c>
      <c r="K171" s="7" t="s">
        <v>99</v>
      </c>
      <c r="L171" s="8"/>
      <c r="M171" s="8"/>
      <c r="N171" s="7" t="s">
        <v>69</v>
      </c>
      <c r="O171" s="8"/>
      <c r="P171" s="8"/>
      <c r="Q171" s="9"/>
      <c r="R171" s="8"/>
    </row>
    <row r="172" spans="1:18" ht="25.5" x14ac:dyDescent="0.25">
      <c r="A172" s="10" t="s">
        <v>761</v>
      </c>
      <c r="B172" s="11" t="s">
        <v>825</v>
      </c>
      <c r="C172" s="10" t="s">
        <v>826</v>
      </c>
      <c r="D172" s="12"/>
      <c r="E172" s="6" t="s">
        <v>62</v>
      </c>
      <c r="F172" s="12" t="s">
        <v>827</v>
      </c>
      <c r="G172" s="12" t="s">
        <v>765</v>
      </c>
      <c r="H172" s="12" t="s">
        <v>828</v>
      </c>
      <c r="I172" s="13" t="s">
        <v>66</v>
      </c>
      <c r="J172" s="13" t="s">
        <v>67</v>
      </c>
      <c r="K172" s="13" t="s">
        <v>99</v>
      </c>
      <c r="L172" s="14"/>
      <c r="M172" s="14"/>
      <c r="N172" s="13" t="s">
        <v>69</v>
      </c>
      <c r="O172" s="14"/>
      <c r="P172" s="14"/>
      <c r="Q172" s="15"/>
      <c r="R172" s="14"/>
    </row>
    <row r="173" spans="1:18" ht="24" x14ac:dyDescent="0.25">
      <c r="A173" s="3" t="s">
        <v>761</v>
      </c>
      <c r="B173" s="4" t="s">
        <v>829</v>
      </c>
      <c r="C173" s="3" t="s">
        <v>830</v>
      </c>
      <c r="D173" s="5"/>
      <c r="E173" s="6" t="s">
        <v>62</v>
      </c>
      <c r="F173" s="5" t="s">
        <v>831</v>
      </c>
      <c r="G173" s="5" t="s">
        <v>267</v>
      </c>
      <c r="H173" s="5" t="s">
        <v>832</v>
      </c>
      <c r="I173" s="7" t="s">
        <v>66</v>
      </c>
      <c r="J173" s="7" t="s">
        <v>67</v>
      </c>
      <c r="K173" s="7" t="s">
        <v>68</v>
      </c>
      <c r="L173" s="8"/>
      <c r="M173" s="8"/>
      <c r="N173" s="7" t="s">
        <v>69</v>
      </c>
      <c r="O173" s="8"/>
      <c r="P173" s="8"/>
      <c r="Q173" s="9"/>
      <c r="R173" s="8"/>
    </row>
    <row r="174" spans="1:18" ht="25.5" x14ac:dyDescent="0.25">
      <c r="A174" s="10" t="s">
        <v>761</v>
      </c>
      <c r="B174" s="11" t="s">
        <v>833</v>
      </c>
      <c r="C174" s="10" t="s">
        <v>834</v>
      </c>
      <c r="D174" s="12"/>
      <c r="E174" s="6" t="s">
        <v>62</v>
      </c>
      <c r="F174" s="12" t="s">
        <v>835</v>
      </c>
      <c r="G174" s="12" t="s">
        <v>836</v>
      </c>
      <c r="H174" s="12" t="s">
        <v>837</v>
      </c>
      <c r="I174" s="13" t="s">
        <v>66</v>
      </c>
      <c r="J174" s="13" t="s">
        <v>67</v>
      </c>
      <c r="K174" s="13" t="s">
        <v>99</v>
      </c>
      <c r="L174" s="14"/>
      <c r="M174" s="14"/>
      <c r="N174" s="13" t="s">
        <v>69</v>
      </c>
      <c r="O174" s="14"/>
      <c r="P174" s="14"/>
      <c r="Q174" s="15"/>
      <c r="R174" s="14"/>
    </row>
    <row r="175" spans="1:18" ht="24" x14ac:dyDescent="0.25">
      <c r="A175" s="3" t="s">
        <v>761</v>
      </c>
      <c r="B175" s="4" t="s">
        <v>838</v>
      </c>
      <c r="C175" s="3" t="s">
        <v>839</v>
      </c>
      <c r="D175" s="5"/>
      <c r="E175" s="6" t="s">
        <v>62</v>
      </c>
      <c r="F175" s="5" t="s">
        <v>840</v>
      </c>
      <c r="G175" s="5" t="s">
        <v>841</v>
      </c>
      <c r="H175" s="5" t="s">
        <v>842</v>
      </c>
      <c r="I175" s="7" t="s">
        <v>66</v>
      </c>
      <c r="J175" s="7" t="s">
        <v>67</v>
      </c>
      <c r="K175" s="7" t="s">
        <v>99</v>
      </c>
      <c r="L175" s="8"/>
      <c r="M175" s="8"/>
      <c r="N175" s="7" t="s">
        <v>69</v>
      </c>
      <c r="O175" s="8"/>
      <c r="P175" s="8"/>
      <c r="Q175" s="9"/>
      <c r="R175" s="8"/>
    </row>
    <row r="176" spans="1:18" ht="24" x14ac:dyDescent="0.25">
      <c r="A176" s="10" t="s">
        <v>761</v>
      </c>
      <c r="B176" s="11" t="s">
        <v>843</v>
      </c>
      <c r="C176" s="10" t="s">
        <v>844</v>
      </c>
      <c r="D176" s="12"/>
      <c r="E176" s="6" t="s">
        <v>62</v>
      </c>
      <c r="F176" s="12" t="s">
        <v>845</v>
      </c>
      <c r="G176" s="12" t="s">
        <v>841</v>
      </c>
      <c r="H176" s="12" t="s">
        <v>846</v>
      </c>
      <c r="I176" s="13" t="s">
        <v>66</v>
      </c>
      <c r="J176" s="13" t="s">
        <v>67</v>
      </c>
      <c r="K176" s="13" t="s">
        <v>99</v>
      </c>
      <c r="L176" s="14"/>
      <c r="M176" s="14"/>
      <c r="N176" s="13" t="s">
        <v>69</v>
      </c>
      <c r="O176" s="14"/>
      <c r="P176" s="14"/>
      <c r="Q176" s="15"/>
      <c r="R176" s="14"/>
    </row>
    <row r="177" spans="1:18" ht="25.5" x14ac:dyDescent="0.25">
      <c r="A177" s="3" t="s">
        <v>761</v>
      </c>
      <c r="B177" s="4" t="s">
        <v>847</v>
      </c>
      <c r="C177" s="3" t="s">
        <v>848</v>
      </c>
      <c r="D177" s="5"/>
      <c r="E177" s="6" t="s">
        <v>62</v>
      </c>
      <c r="F177" s="5" t="s">
        <v>849</v>
      </c>
      <c r="G177" s="5" t="s">
        <v>841</v>
      </c>
      <c r="H177" s="5" t="s">
        <v>850</v>
      </c>
      <c r="I177" s="7" t="s">
        <v>66</v>
      </c>
      <c r="J177" s="7" t="s">
        <v>67</v>
      </c>
      <c r="K177" s="7" t="s">
        <v>99</v>
      </c>
      <c r="L177" s="8"/>
      <c r="M177" s="8"/>
      <c r="N177" s="7" t="s">
        <v>69</v>
      </c>
      <c r="O177" s="8"/>
      <c r="P177" s="8"/>
      <c r="Q177" s="9"/>
      <c r="R177" s="8"/>
    </row>
    <row r="178" spans="1:18" x14ac:dyDescent="0.25">
      <c r="A178" s="10" t="s">
        <v>761</v>
      </c>
      <c r="B178" s="11" t="s">
        <v>851</v>
      </c>
      <c r="C178" s="10" t="s">
        <v>852</v>
      </c>
      <c r="D178" s="12"/>
      <c r="E178" s="6" t="s">
        <v>62</v>
      </c>
      <c r="F178" s="12" t="s">
        <v>853</v>
      </c>
      <c r="G178" s="12" t="s">
        <v>854</v>
      </c>
      <c r="H178" s="12" t="s">
        <v>855</v>
      </c>
      <c r="I178" s="13" t="s">
        <v>66</v>
      </c>
      <c r="J178" s="13" t="s">
        <v>67</v>
      </c>
      <c r="K178" s="13" t="s">
        <v>99</v>
      </c>
      <c r="L178" s="14"/>
      <c r="M178" s="14"/>
      <c r="N178" s="13" t="s">
        <v>69</v>
      </c>
      <c r="O178" s="14"/>
      <c r="P178" s="14"/>
      <c r="Q178" s="15"/>
      <c r="R178" s="14"/>
    </row>
    <row r="179" spans="1:18" ht="25.5" x14ac:dyDescent="0.25">
      <c r="A179" s="3" t="s">
        <v>761</v>
      </c>
      <c r="B179" s="4" t="s">
        <v>856</v>
      </c>
      <c r="C179" s="3" t="s">
        <v>857</v>
      </c>
      <c r="D179" s="5"/>
      <c r="E179" s="6" t="s">
        <v>62</v>
      </c>
      <c r="F179" s="5" t="s">
        <v>858</v>
      </c>
      <c r="G179" s="5" t="s">
        <v>859</v>
      </c>
      <c r="H179" s="5" t="s">
        <v>860</v>
      </c>
      <c r="I179" s="7" t="s">
        <v>66</v>
      </c>
      <c r="J179" s="7" t="s">
        <v>67</v>
      </c>
      <c r="K179" s="7" t="s">
        <v>99</v>
      </c>
      <c r="L179" s="8"/>
      <c r="M179" s="8"/>
      <c r="N179" s="7" t="s">
        <v>69</v>
      </c>
      <c r="O179" s="8"/>
      <c r="P179" s="8"/>
      <c r="Q179" s="9"/>
      <c r="R179" s="8"/>
    </row>
    <row r="180" spans="1:18" x14ac:dyDescent="0.25">
      <c r="A180" s="10" t="s">
        <v>761</v>
      </c>
      <c r="B180" s="11" t="s">
        <v>861</v>
      </c>
      <c r="C180" s="10" t="s">
        <v>862</v>
      </c>
      <c r="D180" s="12"/>
      <c r="E180" s="6" t="s">
        <v>62</v>
      </c>
      <c r="F180" s="12" t="s">
        <v>863</v>
      </c>
      <c r="G180" s="12" t="s">
        <v>382</v>
      </c>
      <c r="H180" s="12" t="s">
        <v>864</v>
      </c>
      <c r="I180" s="13" t="s">
        <v>66</v>
      </c>
      <c r="J180" s="13" t="s">
        <v>67</v>
      </c>
      <c r="K180" s="13" t="s">
        <v>99</v>
      </c>
      <c r="L180" s="14"/>
      <c r="M180" s="14"/>
      <c r="N180" s="13" t="s">
        <v>69</v>
      </c>
      <c r="O180" s="14"/>
      <c r="P180" s="14"/>
      <c r="Q180" s="15"/>
      <c r="R180" s="14"/>
    </row>
    <row r="181" spans="1:18" x14ac:dyDescent="0.25">
      <c r="A181" s="3" t="s">
        <v>761</v>
      </c>
      <c r="B181" s="4" t="s">
        <v>865</v>
      </c>
      <c r="C181" s="3" t="s">
        <v>866</v>
      </c>
      <c r="D181" s="5"/>
      <c r="E181" s="6" t="s">
        <v>62</v>
      </c>
      <c r="F181" s="5" t="s">
        <v>867</v>
      </c>
      <c r="G181" s="5" t="s">
        <v>382</v>
      </c>
      <c r="H181" s="5" t="s">
        <v>868</v>
      </c>
      <c r="I181" s="7" t="s">
        <v>66</v>
      </c>
      <c r="J181" s="7" t="s">
        <v>67</v>
      </c>
      <c r="K181" s="7" t="s">
        <v>99</v>
      </c>
      <c r="L181" s="8"/>
      <c r="M181" s="8"/>
      <c r="N181" s="7" t="s">
        <v>69</v>
      </c>
      <c r="O181" s="8"/>
      <c r="P181" s="8"/>
      <c r="Q181" s="9"/>
      <c r="R181" s="8"/>
    </row>
    <row r="182" spans="1:18" ht="38.25" x14ac:dyDescent="0.25">
      <c r="A182" s="10" t="s">
        <v>761</v>
      </c>
      <c r="B182" s="11" t="s">
        <v>869</v>
      </c>
      <c r="C182" s="10" t="s">
        <v>870</v>
      </c>
      <c r="D182" s="12"/>
      <c r="E182" s="6" t="s">
        <v>62</v>
      </c>
      <c r="F182" s="12" t="s">
        <v>871</v>
      </c>
      <c r="G182" s="12" t="s">
        <v>841</v>
      </c>
      <c r="H182" s="12" t="s">
        <v>872</v>
      </c>
      <c r="I182" s="13" t="s">
        <v>66</v>
      </c>
      <c r="J182" s="13" t="s">
        <v>67</v>
      </c>
      <c r="K182" s="13" t="s">
        <v>99</v>
      </c>
      <c r="L182" s="14"/>
      <c r="M182" s="14"/>
      <c r="N182" s="13" t="s">
        <v>69</v>
      </c>
      <c r="O182" s="14"/>
      <c r="P182" s="14"/>
      <c r="Q182" s="15"/>
      <c r="R182" s="14"/>
    </row>
    <row r="183" spans="1:18" ht="24" x14ac:dyDescent="0.25">
      <c r="A183" s="3" t="s">
        <v>761</v>
      </c>
      <c r="B183" s="4" t="s">
        <v>873</v>
      </c>
      <c r="C183" s="3" t="s">
        <v>874</v>
      </c>
      <c r="D183" s="5"/>
      <c r="E183" s="6" t="s">
        <v>62</v>
      </c>
      <c r="F183" s="5" t="s">
        <v>875</v>
      </c>
      <c r="G183" s="5" t="s">
        <v>841</v>
      </c>
      <c r="H183" s="5" t="s">
        <v>876</v>
      </c>
      <c r="I183" s="7" t="s">
        <v>66</v>
      </c>
      <c r="J183" s="7" t="s">
        <v>67</v>
      </c>
      <c r="K183" s="7" t="s">
        <v>99</v>
      </c>
      <c r="L183" s="8"/>
      <c r="M183" s="8"/>
      <c r="N183" s="7" t="s">
        <v>69</v>
      </c>
      <c r="O183" s="8"/>
      <c r="P183" s="8"/>
      <c r="Q183" s="9"/>
      <c r="R183" s="8"/>
    </row>
    <row r="184" spans="1:18" x14ac:dyDescent="0.25">
      <c r="A184" s="10" t="s">
        <v>761</v>
      </c>
      <c r="B184" s="11" t="s">
        <v>877</v>
      </c>
      <c r="C184" s="10" t="s">
        <v>878</v>
      </c>
      <c r="D184" s="12"/>
      <c r="E184" s="6" t="s">
        <v>62</v>
      </c>
      <c r="F184" s="12" t="s">
        <v>879</v>
      </c>
      <c r="G184" s="12" t="s">
        <v>880</v>
      </c>
      <c r="H184" s="12" t="s">
        <v>881</v>
      </c>
      <c r="I184" s="13" t="s">
        <v>66</v>
      </c>
      <c r="J184" s="13" t="s">
        <v>67</v>
      </c>
      <c r="K184" s="13" t="s">
        <v>99</v>
      </c>
      <c r="L184" s="14"/>
      <c r="M184" s="14"/>
      <c r="N184" s="13" t="s">
        <v>69</v>
      </c>
      <c r="O184" s="14"/>
      <c r="P184" s="14"/>
      <c r="Q184" s="15"/>
      <c r="R184" s="14"/>
    </row>
    <row r="185" spans="1:18" x14ac:dyDescent="0.25">
      <c r="A185" s="3" t="s">
        <v>761</v>
      </c>
      <c r="B185" s="4" t="s">
        <v>882</v>
      </c>
      <c r="C185" s="3" t="s">
        <v>883</v>
      </c>
      <c r="D185" s="5"/>
      <c r="E185" s="6" t="s">
        <v>62</v>
      </c>
      <c r="F185" s="5" t="s">
        <v>884</v>
      </c>
      <c r="G185" s="5" t="s">
        <v>301</v>
      </c>
      <c r="H185" s="5" t="s">
        <v>885</v>
      </c>
      <c r="I185" s="7" t="s">
        <v>66</v>
      </c>
      <c r="J185" s="7" t="s">
        <v>67</v>
      </c>
      <c r="K185" s="7" t="s">
        <v>68</v>
      </c>
      <c r="L185" s="8"/>
      <c r="M185" s="8"/>
      <c r="N185" s="7" t="s">
        <v>69</v>
      </c>
      <c r="O185" s="8"/>
      <c r="P185" s="8"/>
      <c r="Q185" s="9"/>
      <c r="R185" s="8"/>
    </row>
    <row r="186" spans="1:18" ht="25.5" x14ac:dyDescent="0.25">
      <c r="A186" s="10" t="s">
        <v>761</v>
      </c>
      <c r="B186" s="11" t="s">
        <v>886</v>
      </c>
      <c r="C186" s="10" t="s">
        <v>887</v>
      </c>
      <c r="D186" s="12"/>
      <c r="E186" s="6" t="s">
        <v>62</v>
      </c>
      <c r="F186" s="12" t="s">
        <v>888</v>
      </c>
      <c r="G186" s="12" t="s">
        <v>301</v>
      </c>
      <c r="H186" s="12" t="s">
        <v>889</v>
      </c>
      <c r="I186" s="13" t="s">
        <v>66</v>
      </c>
      <c r="J186" s="13" t="s">
        <v>67</v>
      </c>
      <c r="K186" s="13" t="s">
        <v>99</v>
      </c>
      <c r="L186" s="14"/>
      <c r="M186" s="14"/>
      <c r="N186" s="13" t="s">
        <v>69</v>
      </c>
      <c r="O186" s="14"/>
      <c r="P186" s="14"/>
      <c r="Q186" s="15"/>
      <c r="R186" s="14"/>
    </row>
    <row r="187" spans="1:18" ht="25.5" x14ac:dyDescent="0.25">
      <c r="A187" s="3" t="s">
        <v>761</v>
      </c>
      <c r="B187" s="4" t="s">
        <v>890</v>
      </c>
      <c r="C187" s="3" t="s">
        <v>891</v>
      </c>
      <c r="D187" s="5"/>
      <c r="E187" s="6" t="s">
        <v>62</v>
      </c>
      <c r="F187" s="5" t="s">
        <v>892</v>
      </c>
      <c r="G187" s="5" t="s">
        <v>893</v>
      </c>
      <c r="H187" s="5" t="s">
        <v>894</v>
      </c>
      <c r="I187" s="7" t="s">
        <v>66</v>
      </c>
      <c r="J187" s="7" t="s">
        <v>67</v>
      </c>
      <c r="K187" s="7" t="s">
        <v>68</v>
      </c>
      <c r="L187" s="8"/>
      <c r="M187" s="8"/>
      <c r="N187" s="7" t="s">
        <v>69</v>
      </c>
      <c r="O187" s="8"/>
      <c r="P187" s="8"/>
      <c r="Q187" s="9"/>
      <c r="R187" s="8"/>
    </row>
    <row r="188" spans="1:18" ht="24" x14ac:dyDescent="0.25">
      <c r="A188" s="10" t="s">
        <v>761</v>
      </c>
      <c r="B188" s="11" t="s">
        <v>895</v>
      </c>
      <c r="C188" s="10" t="s">
        <v>896</v>
      </c>
      <c r="D188" s="12"/>
      <c r="E188" s="6" t="s">
        <v>62</v>
      </c>
      <c r="F188" s="12" t="s">
        <v>897</v>
      </c>
      <c r="G188" s="12" t="s">
        <v>898</v>
      </c>
      <c r="H188" s="12" t="s">
        <v>899</v>
      </c>
      <c r="I188" s="13" t="s">
        <v>66</v>
      </c>
      <c r="J188" s="13" t="s">
        <v>67</v>
      </c>
      <c r="K188" s="13" t="s">
        <v>99</v>
      </c>
      <c r="L188" s="14"/>
      <c r="M188" s="14"/>
      <c r="N188" s="13" t="s">
        <v>69</v>
      </c>
      <c r="O188" s="14"/>
      <c r="P188" s="14"/>
      <c r="Q188" s="15"/>
      <c r="R188" s="14"/>
    </row>
    <row r="189" spans="1:18" x14ac:dyDescent="0.25">
      <c r="A189" s="3" t="s">
        <v>761</v>
      </c>
      <c r="B189" s="4" t="s">
        <v>900</v>
      </c>
      <c r="C189" s="3" t="s">
        <v>901</v>
      </c>
      <c r="D189" s="5"/>
      <c r="E189" s="6" t="s">
        <v>62</v>
      </c>
      <c r="F189" s="5" t="s">
        <v>902</v>
      </c>
      <c r="G189" s="5" t="s">
        <v>765</v>
      </c>
      <c r="H189" s="5" t="s">
        <v>903</v>
      </c>
      <c r="I189" s="7" t="s">
        <v>66</v>
      </c>
      <c r="J189" s="7" t="s">
        <v>67</v>
      </c>
      <c r="K189" s="7" t="s">
        <v>99</v>
      </c>
      <c r="L189" s="8"/>
      <c r="M189" s="8"/>
      <c r="N189" s="7" t="s">
        <v>69</v>
      </c>
      <c r="O189" s="8"/>
      <c r="P189" s="8"/>
      <c r="Q189" s="9"/>
      <c r="R189" s="8"/>
    </row>
    <row r="190" spans="1:18" x14ac:dyDescent="0.25">
      <c r="A190" s="10" t="s">
        <v>904</v>
      </c>
      <c r="B190" s="11" t="s">
        <v>905</v>
      </c>
      <c r="C190" s="10" t="s">
        <v>61</v>
      </c>
      <c r="D190" s="12"/>
      <c r="E190" s="6" t="s">
        <v>62</v>
      </c>
      <c r="F190" s="12" t="s">
        <v>906</v>
      </c>
      <c r="G190" s="12" t="s">
        <v>907</v>
      </c>
      <c r="H190" s="12" t="s">
        <v>908</v>
      </c>
      <c r="I190" s="13" t="s">
        <v>66</v>
      </c>
      <c r="J190" s="13" t="s">
        <v>67</v>
      </c>
      <c r="K190" s="13" t="s">
        <v>99</v>
      </c>
      <c r="L190" s="14"/>
      <c r="M190" s="14"/>
      <c r="N190" s="13" t="s">
        <v>69</v>
      </c>
      <c r="O190" s="14"/>
      <c r="P190" s="14"/>
      <c r="Q190" s="15"/>
      <c r="R190" s="14"/>
    </row>
    <row r="191" spans="1:18" ht="24" x14ac:dyDescent="0.25">
      <c r="A191" s="3" t="s">
        <v>904</v>
      </c>
      <c r="B191" s="4" t="s">
        <v>909</v>
      </c>
      <c r="C191" s="3" t="s">
        <v>910</v>
      </c>
      <c r="D191" s="5"/>
      <c r="E191" s="6" t="s">
        <v>62</v>
      </c>
      <c r="F191" s="5" t="s">
        <v>911</v>
      </c>
      <c r="G191" s="5" t="s">
        <v>912</v>
      </c>
      <c r="H191" s="5" t="s">
        <v>913</v>
      </c>
      <c r="I191" s="7" t="s">
        <v>66</v>
      </c>
      <c r="J191" s="7" t="s">
        <v>67</v>
      </c>
      <c r="K191" s="7" t="s">
        <v>99</v>
      </c>
      <c r="L191" s="8"/>
      <c r="M191" s="8"/>
      <c r="N191" s="7" t="s">
        <v>69</v>
      </c>
      <c r="O191" s="8"/>
      <c r="P191" s="8"/>
      <c r="Q191" s="9"/>
      <c r="R191" s="8"/>
    </row>
    <row r="192" spans="1:18" ht="24" x14ac:dyDescent="0.25">
      <c r="A192" s="10" t="s">
        <v>904</v>
      </c>
      <c r="B192" s="11" t="s">
        <v>914</v>
      </c>
      <c r="C192" s="10" t="s">
        <v>915</v>
      </c>
      <c r="D192" s="12"/>
      <c r="E192" s="6" t="s">
        <v>62</v>
      </c>
      <c r="F192" s="12" t="s">
        <v>916</v>
      </c>
      <c r="G192" s="12" t="s">
        <v>912</v>
      </c>
      <c r="H192" s="12" t="s">
        <v>917</v>
      </c>
      <c r="I192" s="13" t="s">
        <v>66</v>
      </c>
      <c r="J192" s="13" t="s">
        <v>67</v>
      </c>
      <c r="K192" s="13" t="s">
        <v>68</v>
      </c>
      <c r="L192" s="14"/>
      <c r="M192" s="14"/>
      <c r="N192" s="13" t="s">
        <v>69</v>
      </c>
      <c r="O192" s="14"/>
      <c r="P192" s="14"/>
      <c r="Q192" s="15"/>
      <c r="R192" s="14"/>
    </row>
    <row r="193" spans="1:18" x14ac:dyDescent="0.25">
      <c r="A193" s="3" t="s">
        <v>904</v>
      </c>
      <c r="B193" s="4" t="s">
        <v>918</v>
      </c>
      <c r="C193" s="3" t="s">
        <v>919</v>
      </c>
      <c r="D193" s="5"/>
      <c r="E193" s="6" t="s">
        <v>62</v>
      </c>
      <c r="F193" s="5" t="s">
        <v>920</v>
      </c>
      <c r="G193" s="5" t="s">
        <v>921</v>
      </c>
      <c r="H193" s="5" t="s">
        <v>922</v>
      </c>
      <c r="I193" s="7" t="s">
        <v>66</v>
      </c>
      <c r="J193" s="7" t="s">
        <v>67</v>
      </c>
      <c r="K193" s="7" t="s">
        <v>68</v>
      </c>
      <c r="L193" s="8"/>
      <c r="M193" s="8"/>
      <c r="N193" s="7" t="s">
        <v>69</v>
      </c>
      <c r="O193" s="8"/>
      <c r="P193" s="8"/>
      <c r="Q193" s="9"/>
      <c r="R193" s="8"/>
    </row>
    <row r="194" spans="1:18" x14ac:dyDescent="0.25">
      <c r="A194" s="10" t="s">
        <v>904</v>
      </c>
      <c r="B194" s="11" t="s">
        <v>923</v>
      </c>
      <c r="C194" s="10" t="s">
        <v>924</v>
      </c>
      <c r="D194" s="12"/>
      <c r="E194" s="6" t="s">
        <v>62</v>
      </c>
      <c r="F194" s="12" t="s">
        <v>925</v>
      </c>
      <c r="G194" s="12" t="s">
        <v>926</v>
      </c>
      <c r="H194" s="12" t="s">
        <v>927</v>
      </c>
      <c r="I194" s="13" t="s">
        <v>66</v>
      </c>
      <c r="J194" s="13" t="s">
        <v>67</v>
      </c>
      <c r="K194" s="13" t="s">
        <v>68</v>
      </c>
      <c r="L194" s="14"/>
      <c r="M194" s="14"/>
      <c r="N194" s="13" t="s">
        <v>69</v>
      </c>
      <c r="O194" s="14"/>
      <c r="P194" s="14"/>
      <c r="Q194" s="15"/>
      <c r="R194" s="14"/>
    </row>
    <row r="195" spans="1:18" x14ac:dyDescent="0.25">
      <c r="A195" s="3" t="s">
        <v>904</v>
      </c>
      <c r="B195" s="4" t="s">
        <v>928</v>
      </c>
      <c r="C195" s="3" t="s">
        <v>929</v>
      </c>
      <c r="D195" s="5"/>
      <c r="E195" s="6" t="s">
        <v>62</v>
      </c>
      <c r="F195" s="5" t="s">
        <v>930</v>
      </c>
      <c r="G195" s="5" t="s">
        <v>931</v>
      </c>
      <c r="H195" s="5" t="s">
        <v>932</v>
      </c>
      <c r="I195" s="7" t="s">
        <v>66</v>
      </c>
      <c r="J195" s="7" t="s">
        <v>67</v>
      </c>
      <c r="K195" s="7" t="s">
        <v>99</v>
      </c>
      <c r="L195" s="8"/>
      <c r="M195" s="8"/>
      <c r="N195" s="7" t="s">
        <v>69</v>
      </c>
      <c r="O195" s="8"/>
      <c r="P195" s="8"/>
      <c r="Q195" s="9"/>
      <c r="R195" s="8"/>
    </row>
    <row r="196" spans="1:18" ht="24" x14ac:dyDescent="0.25">
      <c r="A196" s="10" t="s">
        <v>904</v>
      </c>
      <c r="B196" s="11" t="s">
        <v>933</v>
      </c>
      <c r="C196" s="10" t="s">
        <v>934</v>
      </c>
      <c r="D196" s="12"/>
      <c r="E196" s="6" t="s">
        <v>62</v>
      </c>
      <c r="F196" s="12" t="s">
        <v>935</v>
      </c>
      <c r="G196" s="12" t="s">
        <v>936</v>
      </c>
      <c r="H196" s="12" t="s">
        <v>937</v>
      </c>
      <c r="I196" s="13" t="s">
        <v>66</v>
      </c>
      <c r="J196" s="13" t="s">
        <v>67</v>
      </c>
      <c r="K196" s="13" t="s">
        <v>68</v>
      </c>
      <c r="L196" s="14"/>
      <c r="M196" s="14"/>
      <c r="N196" s="13" t="s">
        <v>69</v>
      </c>
      <c r="O196" s="14"/>
      <c r="P196" s="14"/>
      <c r="Q196" s="15"/>
      <c r="R196" s="14"/>
    </row>
    <row r="197" spans="1:18" x14ac:dyDescent="0.25">
      <c r="A197" s="3" t="s">
        <v>904</v>
      </c>
      <c r="B197" s="4" t="s">
        <v>938</v>
      </c>
      <c r="C197" s="3" t="s">
        <v>939</v>
      </c>
      <c r="D197" s="5"/>
      <c r="E197" s="6" t="s">
        <v>62</v>
      </c>
      <c r="F197" s="5" t="s">
        <v>940</v>
      </c>
      <c r="G197" s="5" t="s">
        <v>912</v>
      </c>
      <c r="H197" s="5" t="s">
        <v>941</v>
      </c>
      <c r="I197" s="7" t="s">
        <v>66</v>
      </c>
      <c r="J197" s="7" t="s">
        <v>67</v>
      </c>
      <c r="K197" s="7" t="s">
        <v>99</v>
      </c>
      <c r="L197" s="8"/>
      <c r="M197" s="8"/>
      <c r="N197" s="7" t="s">
        <v>69</v>
      </c>
      <c r="O197" s="8"/>
      <c r="P197" s="8"/>
      <c r="Q197" s="9"/>
      <c r="R197" s="8"/>
    </row>
    <row r="198" spans="1:18" x14ac:dyDescent="0.25">
      <c r="A198" s="10" t="s">
        <v>904</v>
      </c>
      <c r="B198" s="11" t="s">
        <v>942</v>
      </c>
      <c r="C198" s="10" t="s">
        <v>943</v>
      </c>
      <c r="D198" s="12"/>
      <c r="E198" s="6" t="s">
        <v>62</v>
      </c>
      <c r="F198" s="12" t="s">
        <v>944</v>
      </c>
      <c r="G198" s="12" t="s">
        <v>907</v>
      </c>
      <c r="H198" s="12" t="s">
        <v>945</v>
      </c>
      <c r="I198" s="13" t="s">
        <v>66</v>
      </c>
      <c r="J198" s="13" t="s">
        <v>67</v>
      </c>
      <c r="K198" s="13" t="s">
        <v>99</v>
      </c>
      <c r="L198" s="14"/>
      <c r="M198" s="14"/>
      <c r="N198" s="13" t="s">
        <v>69</v>
      </c>
      <c r="O198" s="14"/>
      <c r="P198" s="14"/>
      <c r="Q198" s="15"/>
      <c r="R198" s="14"/>
    </row>
    <row r="199" spans="1:18" ht="38.25" x14ac:dyDescent="0.25">
      <c r="A199" s="3" t="s">
        <v>946</v>
      </c>
      <c r="B199" s="4" t="s">
        <v>947</v>
      </c>
      <c r="C199" s="3" t="s">
        <v>61</v>
      </c>
      <c r="D199" s="5"/>
      <c r="E199" s="6" t="s">
        <v>62</v>
      </c>
      <c r="F199" s="5" t="s">
        <v>948</v>
      </c>
      <c r="G199" s="5" t="s">
        <v>949</v>
      </c>
      <c r="H199" s="5" t="s">
        <v>950</v>
      </c>
      <c r="I199" s="7" t="s">
        <v>66</v>
      </c>
      <c r="J199" s="7" t="s">
        <v>67</v>
      </c>
      <c r="K199" s="7" t="s">
        <v>99</v>
      </c>
      <c r="L199" s="8"/>
      <c r="M199" s="8"/>
      <c r="N199" s="7" t="s">
        <v>69</v>
      </c>
      <c r="O199" s="8"/>
      <c r="P199" s="8"/>
      <c r="Q199" s="9"/>
      <c r="R199" s="8"/>
    </row>
    <row r="200" spans="1:18" ht="38.25" x14ac:dyDescent="0.25">
      <c r="A200" s="10" t="s">
        <v>946</v>
      </c>
      <c r="B200" s="11" t="s">
        <v>951</v>
      </c>
      <c r="C200" s="10" t="s">
        <v>952</v>
      </c>
      <c r="D200" s="12"/>
      <c r="E200" s="6" t="s">
        <v>62</v>
      </c>
      <c r="F200" s="12" t="s">
        <v>953</v>
      </c>
      <c r="G200" s="12" t="s">
        <v>954</v>
      </c>
      <c r="H200" s="12" t="s">
        <v>955</v>
      </c>
      <c r="I200" s="13" t="s">
        <v>66</v>
      </c>
      <c r="J200" s="13" t="s">
        <v>67</v>
      </c>
      <c r="K200" s="13" t="s">
        <v>68</v>
      </c>
      <c r="L200" s="14"/>
      <c r="M200" s="14"/>
      <c r="N200" s="13" t="s">
        <v>69</v>
      </c>
      <c r="O200" s="14"/>
      <c r="P200" s="14"/>
      <c r="Q200" s="15"/>
      <c r="R200" s="14"/>
    </row>
    <row r="201" spans="1:18" ht="38.25" x14ac:dyDescent="0.25">
      <c r="A201" s="3" t="s">
        <v>946</v>
      </c>
      <c r="B201" s="4" t="s">
        <v>956</v>
      </c>
      <c r="C201" s="3" t="s">
        <v>957</v>
      </c>
      <c r="D201" s="5"/>
      <c r="E201" s="6" t="s">
        <v>62</v>
      </c>
      <c r="F201" s="5" t="s">
        <v>958</v>
      </c>
      <c r="G201" s="5" t="s">
        <v>841</v>
      </c>
      <c r="H201" s="5" t="s">
        <v>959</v>
      </c>
      <c r="I201" s="7" t="s">
        <v>66</v>
      </c>
      <c r="J201" s="7" t="s">
        <v>67</v>
      </c>
      <c r="K201" s="7" t="s">
        <v>68</v>
      </c>
      <c r="L201" s="8"/>
      <c r="M201" s="8"/>
      <c r="N201" s="7" t="s">
        <v>69</v>
      </c>
      <c r="O201" s="8"/>
      <c r="P201" s="8"/>
      <c r="Q201" s="9"/>
      <c r="R201" s="8"/>
    </row>
    <row r="202" spans="1:18" ht="38.25" x14ac:dyDescent="0.25">
      <c r="A202" s="10" t="s">
        <v>946</v>
      </c>
      <c r="B202" s="11" t="s">
        <v>960</v>
      </c>
      <c r="C202" s="10" t="s">
        <v>961</v>
      </c>
      <c r="D202" s="12"/>
      <c r="E202" s="6" t="s">
        <v>62</v>
      </c>
      <c r="F202" s="12" t="s">
        <v>962</v>
      </c>
      <c r="G202" s="12" t="s">
        <v>841</v>
      </c>
      <c r="H202" s="12" t="s">
        <v>963</v>
      </c>
      <c r="I202" s="13" t="s">
        <v>66</v>
      </c>
      <c r="J202" s="13" t="s">
        <v>67</v>
      </c>
      <c r="K202" s="13" t="s">
        <v>99</v>
      </c>
      <c r="L202" s="14"/>
      <c r="M202" s="14"/>
      <c r="N202" s="13" t="s">
        <v>69</v>
      </c>
      <c r="O202" s="14"/>
      <c r="P202" s="14"/>
      <c r="Q202" s="15"/>
      <c r="R202" s="14"/>
    </row>
    <row r="203" spans="1:18" ht="38.25" x14ac:dyDescent="0.25">
      <c r="A203" s="3" t="s">
        <v>946</v>
      </c>
      <c r="B203" s="4" t="s">
        <v>964</v>
      </c>
      <c r="C203" s="3" t="s">
        <v>965</v>
      </c>
      <c r="D203" s="5"/>
      <c r="E203" s="6" t="s">
        <v>62</v>
      </c>
      <c r="F203" s="5" t="s">
        <v>966</v>
      </c>
      <c r="G203" s="5" t="s">
        <v>841</v>
      </c>
      <c r="H203" s="5" t="s">
        <v>967</v>
      </c>
      <c r="I203" s="7" t="s">
        <v>66</v>
      </c>
      <c r="J203" s="7" t="s">
        <v>67</v>
      </c>
      <c r="K203" s="7" t="s">
        <v>99</v>
      </c>
      <c r="L203" s="8"/>
      <c r="M203" s="8"/>
      <c r="N203" s="7" t="s">
        <v>69</v>
      </c>
      <c r="O203" s="8"/>
      <c r="P203" s="8"/>
      <c r="Q203" s="9"/>
      <c r="R203" s="8"/>
    </row>
    <row r="204" spans="1:18" ht="38.25" x14ac:dyDescent="0.25">
      <c r="A204" s="10" t="s">
        <v>946</v>
      </c>
      <c r="B204" s="11" t="s">
        <v>968</v>
      </c>
      <c r="C204" s="10" t="s">
        <v>969</v>
      </c>
      <c r="D204" s="12"/>
      <c r="E204" s="6" t="s">
        <v>62</v>
      </c>
      <c r="F204" s="12" t="s">
        <v>970</v>
      </c>
      <c r="G204" s="12" t="s">
        <v>854</v>
      </c>
      <c r="H204" s="12" t="s">
        <v>971</v>
      </c>
      <c r="I204" s="13" t="s">
        <v>66</v>
      </c>
      <c r="J204" s="13" t="s">
        <v>67</v>
      </c>
      <c r="K204" s="13" t="s">
        <v>68</v>
      </c>
      <c r="L204" s="14"/>
      <c r="M204" s="14"/>
      <c r="N204" s="13" t="s">
        <v>69</v>
      </c>
      <c r="O204" s="14"/>
      <c r="P204" s="14"/>
      <c r="Q204" s="15"/>
      <c r="R204" s="14"/>
    </row>
    <row r="205" spans="1:18" ht="38.25" x14ac:dyDescent="0.25">
      <c r="A205" s="3" t="s">
        <v>946</v>
      </c>
      <c r="B205" s="4" t="s">
        <v>972</v>
      </c>
      <c r="C205" s="3" t="s">
        <v>973</v>
      </c>
      <c r="D205" s="5"/>
      <c r="E205" s="6" t="s">
        <v>62</v>
      </c>
      <c r="F205" s="5" t="s">
        <v>974</v>
      </c>
      <c r="G205" s="5" t="s">
        <v>975</v>
      </c>
      <c r="H205" s="5" t="s">
        <v>976</v>
      </c>
      <c r="I205" s="7" t="s">
        <v>66</v>
      </c>
      <c r="J205" s="7" t="s">
        <v>67</v>
      </c>
      <c r="K205" s="7" t="s">
        <v>99</v>
      </c>
      <c r="L205" s="8"/>
      <c r="M205" s="8"/>
      <c r="N205" s="7" t="s">
        <v>69</v>
      </c>
      <c r="O205" s="8"/>
      <c r="P205" s="8"/>
      <c r="Q205" s="9"/>
      <c r="R205" s="8"/>
    </row>
    <row r="206" spans="1:18" ht="38.25" x14ac:dyDescent="0.25">
      <c r="A206" s="10" t="s">
        <v>946</v>
      </c>
      <c r="B206" s="11" t="s">
        <v>977</v>
      </c>
      <c r="C206" s="10" t="s">
        <v>978</v>
      </c>
      <c r="D206" s="12"/>
      <c r="E206" s="6" t="s">
        <v>62</v>
      </c>
      <c r="F206" s="12" t="s">
        <v>979</v>
      </c>
      <c r="G206" s="12" t="s">
        <v>841</v>
      </c>
      <c r="H206" s="12" t="s">
        <v>980</v>
      </c>
      <c r="I206" s="13" t="s">
        <v>66</v>
      </c>
      <c r="J206" s="13" t="s">
        <v>67</v>
      </c>
      <c r="K206" s="13" t="s">
        <v>99</v>
      </c>
      <c r="L206" s="14"/>
      <c r="M206" s="14"/>
      <c r="N206" s="13" t="s">
        <v>69</v>
      </c>
      <c r="O206" s="14"/>
      <c r="P206" s="14"/>
      <c r="Q206" s="15"/>
      <c r="R206" s="14"/>
    </row>
    <row r="207" spans="1:18" x14ac:dyDescent="0.25">
      <c r="A207" s="3" t="s">
        <v>981</v>
      </c>
      <c r="B207" s="4" t="s">
        <v>982</v>
      </c>
      <c r="C207" s="3" t="s">
        <v>61</v>
      </c>
      <c r="D207" s="5"/>
      <c r="E207" s="6" t="s">
        <v>62</v>
      </c>
      <c r="F207" s="5" t="s">
        <v>983</v>
      </c>
      <c r="G207" s="5" t="s">
        <v>301</v>
      </c>
      <c r="H207" s="5" t="s">
        <v>984</v>
      </c>
      <c r="I207" s="7" t="s">
        <v>66</v>
      </c>
      <c r="J207" s="7" t="s">
        <v>67</v>
      </c>
      <c r="K207" s="7" t="s">
        <v>99</v>
      </c>
      <c r="L207" s="8"/>
      <c r="M207" s="8"/>
      <c r="N207" s="7" t="s">
        <v>69</v>
      </c>
      <c r="O207" s="8"/>
      <c r="P207" s="8"/>
      <c r="Q207" s="9"/>
      <c r="R207" s="8"/>
    </row>
    <row r="208" spans="1:18" x14ac:dyDescent="0.25">
      <c r="A208" s="10" t="s">
        <v>981</v>
      </c>
      <c r="B208" s="11" t="s">
        <v>985</v>
      </c>
      <c r="C208" s="10" t="s">
        <v>986</v>
      </c>
      <c r="D208" s="12"/>
      <c r="E208" s="6" t="s">
        <v>62</v>
      </c>
      <c r="F208" s="12" t="s">
        <v>987</v>
      </c>
      <c r="G208" s="12" t="s">
        <v>988</v>
      </c>
      <c r="H208" s="12" t="s">
        <v>989</v>
      </c>
      <c r="I208" s="13" t="s">
        <v>66</v>
      </c>
      <c r="J208" s="13" t="s">
        <v>67</v>
      </c>
      <c r="K208" s="13" t="s">
        <v>68</v>
      </c>
      <c r="L208" s="14"/>
      <c r="M208" s="14"/>
      <c r="N208" s="13" t="s">
        <v>69</v>
      </c>
      <c r="O208" s="14"/>
      <c r="P208" s="14"/>
      <c r="Q208" s="15"/>
      <c r="R208" s="14"/>
    </row>
    <row r="209" spans="1:18" x14ac:dyDescent="0.25">
      <c r="A209" s="3" t="s">
        <v>981</v>
      </c>
      <c r="B209" s="4" t="s">
        <v>990</v>
      </c>
      <c r="C209" s="3" t="s">
        <v>991</v>
      </c>
      <c r="D209" s="5"/>
      <c r="E209" s="6" t="s">
        <v>62</v>
      </c>
      <c r="F209" s="5" t="s">
        <v>992</v>
      </c>
      <c r="G209" s="5" t="s">
        <v>301</v>
      </c>
      <c r="H209" s="5" t="s">
        <v>993</v>
      </c>
      <c r="I209" s="7" t="s">
        <v>66</v>
      </c>
      <c r="J209" s="7" t="s">
        <v>67</v>
      </c>
      <c r="K209" s="7" t="s">
        <v>68</v>
      </c>
      <c r="L209" s="8"/>
      <c r="M209" s="8"/>
      <c r="N209" s="7" t="s">
        <v>69</v>
      </c>
      <c r="O209" s="8"/>
      <c r="P209" s="8"/>
      <c r="Q209" s="9"/>
      <c r="R209" s="8"/>
    </row>
    <row r="210" spans="1:18" ht="24" x14ac:dyDescent="0.25">
      <c r="A210" s="10" t="s">
        <v>981</v>
      </c>
      <c r="B210" s="11" t="s">
        <v>994</v>
      </c>
      <c r="C210" s="10" t="s">
        <v>995</v>
      </c>
      <c r="D210" s="12"/>
      <c r="E210" s="6" t="s">
        <v>62</v>
      </c>
      <c r="F210" s="12" t="s">
        <v>996</v>
      </c>
      <c r="G210" s="12" t="s">
        <v>301</v>
      </c>
      <c r="H210" s="12" t="s">
        <v>997</v>
      </c>
      <c r="I210" s="13" t="s">
        <v>66</v>
      </c>
      <c r="J210" s="13" t="s">
        <v>67</v>
      </c>
      <c r="K210" s="13" t="s">
        <v>99</v>
      </c>
      <c r="L210" s="14"/>
      <c r="M210" s="14"/>
      <c r="N210" s="13" t="s">
        <v>69</v>
      </c>
      <c r="O210" s="14"/>
      <c r="P210" s="14"/>
      <c r="Q210" s="15"/>
      <c r="R210" s="14"/>
    </row>
    <row r="211" spans="1:18" ht="25.5" x14ac:dyDescent="0.25">
      <c r="A211" s="3" t="s">
        <v>981</v>
      </c>
      <c r="B211" s="4" t="s">
        <v>998</v>
      </c>
      <c r="C211" s="3" t="s">
        <v>999</v>
      </c>
      <c r="D211" s="5"/>
      <c r="E211" s="6" t="s">
        <v>62</v>
      </c>
      <c r="F211" s="5" t="s">
        <v>1000</v>
      </c>
      <c r="G211" s="5" t="s">
        <v>320</v>
      </c>
      <c r="H211" s="5" t="s">
        <v>1001</v>
      </c>
      <c r="I211" s="7" t="s">
        <v>66</v>
      </c>
      <c r="J211" s="7" t="s">
        <v>67</v>
      </c>
      <c r="K211" s="7" t="s">
        <v>463</v>
      </c>
      <c r="L211" s="8"/>
      <c r="M211" s="8"/>
      <c r="N211" s="7" t="s">
        <v>69</v>
      </c>
      <c r="O211" s="8"/>
      <c r="P211" s="8"/>
      <c r="Q211" s="9"/>
      <c r="R211" s="8"/>
    </row>
    <row r="212" spans="1:18" ht="25.5" x14ac:dyDescent="0.25">
      <c r="A212" s="10" t="s">
        <v>981</v>
      </c>
      <c r="B212" s="11" t="s">
        <v>1002</v>
      </c>
      <c r="C212" s="10" t="s">
        <v>1003</v>
      </c>
      <c r="D212" s="12"/>
      <c r="E212" s="6" t="s">
        <v>62</v>
      </c>
      <c r="F212" s="12" t="s">
        <v>1004</v>
      </c>
      <c r="G212" s="12" t="s">
        <v>1005</v>
      </c>
      <c r="H212" s="12" t="s">
        <v>1006</v>
      </c>
      <c r="I212" s="13" t="s">
        <v>66</v>
      </c>
      <c r="J212" s="13" t="s">
        <v>67</v>
      </c>
      <c r="K212" s="13" t="s">
        <v>68</v>
      </c>
      <c r="L212" s="14"/>
      <c r="M212" s="14"/>
      <c r="N212" s="13" t="s">
        <v>69</v>
      </c>
      <c r="O212" s="14"/>
      <c r="P212" s="14"/>
      <c r="Q212" s="15"/>
      <c r="R212" s="14"/>
    </row>
    <row r="213" spans="1:18" ht="24" x14ac:dyDescent="0.25">
      <c r="A213" s="3" t="s">
        <v>981</v>
      </c>
      <c r="B213" s="4" t="s">
        <v>1007</v>
      </c>
      <c r="C213" s="3" t="s">
        <v>1008</v>
      </c>
      <c r="D213" s="5"/>
      <c r="E213" s="6" t="s">
        <v>62</v>
      </c>
      <c r="F213" s="5" t="s">
        <v>1009</v>
      </c>
      <c r="G213" s="5" t="s">
        <v>301</v>
      </c>
      <c r="H213" s="5" t="s">
        <v>1010</v>
      </c>
      <c r="I213" s="7" t="s">
        <v>66</v>
      </c>
      <c r="J213" s="7" t="s">
        <v>67</v>
      </c>
      <c r="K213" s="7" t="s">
        <v>68</v>
      </c>
      <c r="L213" s="8"/>
      <c r="M213" s="8"/>
      <c r="N213" s="7" t="s">
        <v>69</v>
      </c>
      <c r="O213" s="8"/>
      <c r="P213" s="8"/>
      <c r="Q213" s="9"/>
      <c r="R213" s="8"/>
    </row>
    <row r="214" spans="1:18" ht="24" x14ac:dyDescent="0.25">
      <c r="A214" s="10" t="s">
        <v>981</v>
      </c>
      <c r="B214" s="11" t="s">
        <v>1011</v>
      </c>
      <c r="C214" s="10" t="s">
        <v>1012</v>
      </c>
      <c r="D214" s="12"/>
      <c r="E214" s="6" t="s">
        <v>62</v>
      </c>
      <c r="F214" s="12" t="s">
        <v>1013</v>
      </c>
      <c r="G214" s="12" t="s">
        <v>1014</v>
      </c>
      <c r="H214" s="12" t="s">
        <v>1015</v>
      </c>
      <c r="I214" s="13" t="s">
        <v>66</v>
      </c>
      <c r="J214" s="13" t="s">
        <v>67</v>
      </c>
      <c r="K214" s="13" t="s">
        <v>99</v>
      </c>
      <c r="L214" s="14"/>
      <c r="M214" s="14"/>
      <c r="N214" s="13" t="s">
        <v>69</v>
      </c>
      <c r="O214" s="14"/>
      <c r="P214" s="14"/>
      <c r="Q214" s="15"/>
      <c r="R214" s="14"/>
    </row>
    <row r="215" spans="1:18" x14ac:dyDescent="0.25">
      <c r="A215" s="3" t="s">
        <v>981</v>
      </c>
      <c r="B215" s="4" t="s">
        <v>1016</v>
      </c>
      <c r="C215" s="3" t="s">
        <v>1017</v>
      </c>
      <c r="D215" s="5"/>
      <c r="E215" s="6" t="s">
        <v>62</v>
      </c>
      <c r="F215" s="5" t="s">
        <v>1018</v>
      </c>
      <c r="G215" s="5" t="s">
        <v>796</v>
      </c>
      <c r="H215" s="5" t="s">
        <v>1019</v>
      </c>
      <c r="I215" s="7" t="s">
        <v>66</v>
      </c>
      <c r="J215" s="7" t="s">
        <v>67</v>
      </c>
      <c r="K215" s="7" t="s">
        <v>99</v>
      </c>
      <c r="L215" s="8"/>
      <c r="M215" s="8"/>
      <c r="N215" s="7" t="s">
        <v>69</v>
      </c>
      <c r="O215" s="8"/>
      <c r="P215" s="8"/>
      <c r="Q215" s="9"/>
      <c r="R215" s="8"/>
    </row>
    <row r="216" spans="1:18" ht="24" x14ac:dyDescent="0.25">
      <c r="A216" s="10" t="s">
        <v>981</v>
      </c>
      <c r="B216" s="11" t="s">
        <v>1020</v>
      </c>
      <c r="C216" s="10" t="s">
        <v>1021</v>
      </c>
      <c r="D216" s="12"/>
      <c r="E216" s="6" t="s">
        <v>62</v>
      </c>
      <c r="F216" s="12" t="s">
        <v>1022</v>
      </c>
      <c r="G216" s="12" t="s">
        <v>1023</v>
      </c>
      <c r="H216" s="12" t="s">
        <v>1024</v>
      </c>
      <c r="I216" s="13" t="s">
        <v>66</v>
      </c>
      <c r="J216" s="13" t="s">
        <v>67</v>
      </c>
      <c r="K216" s="13" t="s">
        <v>68</v>
      </c>
      <c r="L216" s="14"/>
      <c r="M216" s="14"/>
      <c r="N216" s="13" t="s">
        <v>69</v>
      </c>
      <c r="O216" s="14"/>
      <c r="P216" s="14"/>
      <c r="Q216" s="15"/>
      <c r="R216" s="14"/>
    </row>
    <row r="217" spans="1:18" ht="25.5" x14ac:dyDescent="0.25">
      <c r="A217" s="3" t="s">
        <v>1025</v>
      </c>
      <c r="B217" s="4" t="s">
        <v>1026</v>
      </c>
      <c r="C217" s="3" t="s">
        <v>61</v>
      </c>
      <c r="D217" s="5"/>
      <c r="E217" s="6" t="s">
        <v>62</v>
      </c>
      <c r="F217" s="5" t="s">
        <v>1027</v>
      </c>
      <c r="G217" s="5" t="s">
        <v>1028</v>
      </c>
      <c r="H217" s="5" t="s">
        <v>1029</v>
      </c>
      <c r="I217" s="7" t="s">
        <v>66</v>
      </c>
      <c r="J217" s="7" t="s">
        <v>67</v>
      </c>
      <c r="K217" s="7" t="s">
        <v>99</v>
      </c>
      <c r="L217" s="8"/>
      <c r="M217" s="8"/>
      <c r="N217" s="7" t="s">
        <v>69</v>
      </c>
      <c r="O217" s="8"/>
      <c r="P217" s="8"/>
      <c r="Q217" s="9"/>
      <c r="R217" s="8"/>
    </row>
    <row r="218" spans="1:18" ht="25.5" x14ac:dyDescent="0.25">
      <c r="A218" s="10" t="s">
        <v>1025</v>
      </c>
      <c r="B218" s="11" t="s">
        <v>1030</v>
      </c>
      <c r="C218" s="10" t="s">
        <v>1031</v>
      </c>
      <c r="D218" s="12"/>
      <c r="E218" s="6" t="s">
        <v>62</v>
      </c>
      <c r="F218" s="12" t="s">
        <v>1032</v>
      </c>
      <c r="G218" s="12" t="s">
        <v>1033</v>
      </c>
      <c r="H218" s="12" t="s">
        <v>1034</v>
      </c>
      <c r="I218" s="13" t="s">
        <v>66</v>
      </c>
      <c r="J218" s="13" t="s">
        <v>67</v>
      </c>
      <c r="K218" s="13" t="s">
        <v>99</v>
      </c>
      <c r="L218" s="14"/>
      <c r="M218" s="14"/>
      <c r="N218" s="13" t="s">
        <v>69</v>
      </c>
      <c r="O218" s="14"/>
      <c r="P218" s="14"/>
      <c r="Q218" s="15"/>
      <c r="R218" s="14"/>
    </row>
    <row r="219" spans="1:18" ht="25.5" x14ac:dyDescent="0.25">
      <c r="A219" s="3" t="s">
        <v>1025</v>
      </c>
      <c r="B219" s="4" t="s">
        <v>1035</v>
      </c>
      <c r="C219" s="3" t="s">
        <v>1036</v>
      </c>
      <c r="D219" s="5"/>
      <c r="E219" s="6" t="s">
        <v>62</v>
      </c>
      <c r="F219" s="5" t="s">
        <v>1037</v>
      </c>
      <c r="G219" s="5" t="s">
        <v>1038</v>
      </c>
      <c r="H219" s="5" t="s">
        <v>1039</v>
      </c>
      <c r="I219" s="7" t="s">
        <v>66</v>
      </c>
      <c r="J219" s="7" t="s">
        <v>67</v>
      </c>
      <c r="K219" s="7" t="s">
        <v>68</v>
      </c>
      <c r="L219" s="8"/>
      <c r="M219" s="8"/>
      <c r="N219" s="7" t="s">
        <v>69</v>
      </c>
      <c r="O219" s="8"/>
      <c r="P219" s="8"/>
      <c r="Q219" s="9"/>
      <c r="R219" s="8"/>
    </row>
    <row r="220" spans="1:18" ht="25.5" x14ac:dyDescent="0.25">
      <c r="A220" s="10" t="s">
        <v>1025</v>
      </c>
      <c r="B220" s="11" t="s">
        <v>1040</v>
      </c>
      <c r="C220" s="10" t="s">
        <v>1041</v>
      </c>
      <c r="D220" s="12"/>
      <c r="E220" s="6" t="s">
        <v>62</v>
      </c>
      <c r="F220" s="12" t="s">
        <v>1042</v>
      </c>
      <c r="G220" s="12" t="s">
        <v>205</v>
      </c>
      <c r="H220" s="12" t="s">
        <v>1043</v>
      </c>
      <c r="I220" s="13" t="s">
        <v>66</v>
      </c>
      <c r="J220" s="13" t="s">
        <v>67</v>
      </c>
      <c r="K220" s="13" t="s">
        <v>68</v>
      </c>
      <c r="L220" s="14"/>
      <c r="M220" s="14"/>
      <c r="N220" s="13" t="s">
        <v>69</v>
      </c>
      <c r="O220" s="14"/>
      <c r="P220" s="14"/>
      <c r="Q220" s="15"/>
      <c r="R220" s="14"/>
    </row>
    <row r="221" spans="1:18" ht="25.5" x14ac:dyDescent="0.25">
      <c r="A221" s="3" t="s">
        <v>1025</v>
      </c>
      <c r="B221" s="4" t="s">
        <v>1044</v>
      </c>
      <c r="C221" s="3" t="s">
        <v>1045</v>
      </c>
      <c r="D221" s="5"/>
      <c r="E221" s="6" t="s">
        <v>62</v>
      </c>
      <c r="F221" s="5" t="s">
        <v>1046</v>
      </c>
      <c r="G221" s="5" t="s">
        <v>1028</v>
      </c>
      <c r="H221" s="5" t="s">
        <v>1047</v>
      </c>
      <c r="I221" s="7" t="s">
        <v>66</v>
      </c>
      <c r="J221" s="7" t="s">
        <v>67</v>
      </c>
      <c r="K221" s="7" t="s">
        <v>99</v>
      </c>
      <c r="L221" s="8"/>
      <c r="M221" s="8"/>
      <c r="N221" s="7" t="s">
        <v>69</v>
      </c>
      <c r="O221" s="8"/>
      <c r="P221" s="8"/>
      <c r="Q221" s="9"/>
      <c r="R221" s="8"/>
    </row>
    <row r="222" spans="1:18" ht="25.5" x14ac:dyDescent="0.25">
      <c r="A222" s="10" t="s">
        <v>1025</v>
      </c>
      <c r="B222" s="11" t="s">
        <v>1048</v>
      </c>
      <c r="C222" s="10" t="s">
        <v>371</v>
      </c>
      <c r="D222" s="12"/>
      <c r="E222" s="6" t="s">
        <v>62</v>
      </c>
      <c r="F222" s="12" t="s">
        <v>413</v>
      </c>
      <c r="G222" s="12" t="s">
        <v>414</v>
      </c>
      <c r="H222" s="12" t="s">
        <v>415</v>
      </c>
      <c r="I222" s="13" t="s">
        <v>66</v>
      </c>
      <c r="J222" s="13" t="s">
        <v>67</v>
      </c>
      <c r="K222" s="13" t="s">
        <v>68</v>
      </c>
      <c r="L222" s="14"/>
      <c r="M222" s="14"/>
      <c r="N222" s="13" t="s">
        <v>69</v>
      </c>
      <c r="O222" s="14"/>
      <c r="P222" s="14"/>
      <c r="Q222" s="15"/>
      <c r="R222" s="14"/>
    </row>
    <row r="223" spans="1:18" ht="25.5" x14ac:dyDescent="0.25">
      <c r="A223" s="3" t="s">
        <v>1025</v>
      </c>
      <c r="B223" s="4" t="s">
        <v>1049</v>
      </c>
      <c r="C223" s="3" t="s">
        <v>376</v>
      </c>
      <c r="D223" s="5"/>
      <c r="E223" s="6" t="s">
        <v>62</v>
      </c>
      <c r="F223" s="5" t="s">
        <v>413</v>
      </c>
      <c r="G223" s="5" t="s">
        <v>414</v>
      </c>
      <c r="H223" s="5" t="s">
        <v>415</v>
      </c>
      <c r="I223" s="7" t="s">
        <v>66</v>
      </c>
      <c r="J223" s="7" t="s">
        <v>67</v>
      </c>
      <c r="K223" s="7" t="s">
        <v>68</v>
      </c>
      <c r="L223" s="8"/>
      <c r="M223" s="8"/>
      <c r="N223" s="7" t="s">
        <v>69</v>
      </c>
      <c r="O223" s="8"/>
      <c r="P223" s="8"/>
      <c r="Q223" s="9"/>
      <c r="R223" s="8"/>
    </row>
    <row r="224" spans="1:18" ht="25.5" x14ac:dyDescent="0.25">
      <c r="A224" s="10" t="s">
        <v>1025</v>
      </c>
      <c r="B224" s="11" t="s">
        <v>1050</v>
      </c>
      <c r="C224" s="10" t="s">
        <v>1051</v>
      </c>
      <c r="D224" s="12"/>
      <c r="E224" s="6" t="s">
        <v>62</v>
      </c>
      <c r="F224" s="12" t="s">
        <v>1052</v>
      </c>
      <c r="G224" s="12" t="s">
        <v>1053</v>
      </c>
      <c r="H224" s="12" t="s">
        <v>1054</v>
      </c>
      <c r="I224" s="13" t="s">
        <v>66</v>
      </c>
      <c r="J224" s="13" t="s">
        <v>67</v>
      </c>
      <c r="K224" s="13" t="s">
        <v>68</v>
      </c>
      <c r="L224" s="14"/>
      <c r="M224" s="14"/>
      <c r="N224" s="13" t="s">
        <v>69</v>
      </c>
      <c r="O224" s="14"/>
      <c r="P224" s="14"/>
      <c r="Q224" s="15"/>
      <c r="R224" s="14"/>
    </row>
    <row r="225" spans="1:18" ht="25.5" x14ac:dyDescent="0.25">
      <c r="A225" s="3" t="s">
        <v>1025</v>
      </c>
      <c r="B225" s="4" t="s">
        <v>1055</v>
      </c>
      <c r="C225" s="3" t="s">
        <v>1056</v>
      </c>
      <c r="D225" s="5"/>
      <c r="E225" s="6" t="s">
        <v>62</v>
      </c>
      <c r="F225" s="5" t="s">
        <v>1057</v>
      </c>
      <c r="G225" s="5" t="s">
        <v>205</v>
      </c>
      <c r="H225" s="5" t="s">
        <v>1058</v>
      </c>
      <c r="I225" s="7" t="s">
        <v>66</v>
      </c>
      <c r="J225" s="7" t="s">
        <v>67</v>
      </c>
      <c r="K225" s="7" t="s">
        <v>68</v>
      </c>
      <c r="L225" s="8"/>
      <c r="M225" s="8"/>
      <c r="N225" s="7" t="s">
        <v>69</v>
      </c>
      <c r="O225" s="8"/>
      <c r="P225" s="8"/>
      <c r="Q225" s="9"/>
      <c r="R225" s="8"/>
    </row>
    <row r="226" spans="1:18" ht="25.5" x14ac:dyDescent="0.25">
      <c r="A226" s="10" t="s">
        <v>1025</v>
      </c>
      <c r="B226" s="11" t="s">
        <v>1059</v>
      </c>
      <c r="C226" s="10" t="s">
        <v>1060</v>
      </c>
      <c r="D226" s="12"/>
      <c r="E226" s="6" t="s">
        <v>62</v>
      </c>
      <c r="F226" s="12" t="s">
        <v>1061</v>
      </c>
      <c r="G226" s="12" t="s">
        <v>1062</v>
      </c>
      <c r="H226" s="12" t="s">
        <v>1063</v>
      </c>
      <c r="I226" s="13" t="s">
        <v>66</v>
      </c>
      <c r="J226" s="13" t="s">
        <v>67</v>
      </c>
      <c r="K226" s="13" t="s">
        <v>68</v>
      </c>
      <c r="L226" s="14"/>
      <c r="M226" s="14"/>
      <c r="N226" s="13" t="s">
        <v>69</v>
      </c>
      <c r="O226" s="14"/>
      <c r="P226" s="14"/>
      <c r="Q226" s="15"/>
      <c r="R226" s="14"/>
    </row>
    <row r="227" spans="1:18" ht="25.5" x14ac:dyDescent="0.25">
      <c r="A227" s="3" t="s">
        <v>1025</v>
      </c>
      <c r="B227" s="4" t="s">
        <v>1064</v>
      </c>
      <c r="C227" s="3" t="s">
        <v>1065</v>
      </c>
      <c r="D227" s="5"/>
      <c r="E227" s="6" t="s">
        <v>62</v>
      </c>
      <c r="F227" s="5" t="s">
        <v>1066</v>
      </c>
      <c r="G227" s="5" t="s">
        <v>1067</v>
      </c>
      <c r="H227" s="5" t="s">
        <v>1068</v>
      </c>
      <c r="I227" s="7" t="s">
        <v>66</v>
      </c>
      <c r="J227" s="7" t="s">
        <v>67</v>
      </c>
      <c r="K227" s="7" t="s">
        <v>68</v>
      </c>
      <c r="L227" s="8"/>
      <c r="M227" s="8"/>
      <c r="N227" s="7" t="s">
        <v>69</v>
      </c>
      <c r="O227" s="8"/>
      <c r="P227" s="8"/>
      <c r="Q227" s="9"/>
      <c r="R227" s="8"/>
    </row>
    <row r="228" spans="1:18" ht="25.5" x14ac:dyDescent="0.25">
      <c r="A228" s="10" t="s">
        <v>1025</v>
      </c>
      <c r="B228" s="11" t="s">
        <v>1069</v>
      </c>
      <c r="C228" s="10" t="s">
        <v>1070</v>
      </c>
      <c r="D228" s="12"/>
      <c r="E228" s="6" t="s">
        <v>62</v>
      </c>
      <c r="F228" s="12" t="s">
        <v>1071</v>
      </c>
      <c r="G228" s="12" t="s">
        <v>893</v>
      </c>
      <c r="H228" s="12" t="s">
        <v>1072</v>
      </c>
      <c r="I228" s="13" t="s">
        <v>66</v>
      </c>
      <c r="J228" s="13" t="s">
        <v>67</v>
      </c>
      <c r="K228" s="13" t="s">
        <v>68</v>
      </c>
      <c r="L228" s="14"/>
      <c r="M228" s="14"/>
      <c r="N228" s="13" t="s">
        <v>69</v>
      </c>
      <c r="O228" s="14"/>
      <c r="P228" s="14"/>
      <c r="Q228" s="15"/>
      <c r="R228" s="14"/>
    </row>
    <row r="229" spans="1:18" ht="25.5" x14ac:dyDescent="0.25">
      <c r="A229" s="3" t="s">
        <v>1025</v>
      </c>
      <c r="B229" s="4" t="s">
        <v>1073</v>
      </c>
      <c r="C229" s="3" t="s">
        <v>1074</v>
      </c>
      <c r="D229" s="5"/>
      <c r="E229" s="6" t="s">
        <v>62</v>
      </c>
      <c r="F229" s="5" t="s">
        <v>413</v>
      </c>
      <c r="G229" s="5" t="s">
        <v>414</v>
      </c>
      <c r="H229" s="5" t="s">
        <v>415</v>
      </c>
      <c r="I229" s="7" t="s">
        <v>66</v>
      </c>
      <c r="J229" s="7" t="s">
        <v>67</v>
      </c>
      <c r="K229" s="7" t="s">
        <v>68</v>
      </c>
      <c r="L229" s="8"/>
      <c r="M229" s="8"/>
      <c r="N229" s="7" t="s">
        <v>69</v>
      </c>
      <c r="O229" s="8"/>
      <c r="P229" s="8"/>
      <c r="Q229" s="9"/>
      <c r="R229" s="8"/>
    </row>
    <row r="230" spans="1:18" ht="25.5" x14ac:dyDescent="0.25">
      <c r="A230" s="10" t="s">
        <v>1025</v>
      </c>
      <c r="B230" s="11" t="s">
        <v>1075</v>
      </c>
      <c r="C230" s="10" t="s">
        <v>1017</v>
      </c>
      <c r="D230" s="12"/>
      <c r="E230" s="6" t="s">
        <v>62</v>
      </c>
      <c r="F230" s="12" t="s">
        <v>413</v>
      </c>
      <c r="G230" s="12" t="s">
        <v>414</v>
      </c>
      <c r="H230" s="12" t="s">
        <v>415</v>
      </c>
      <c r="I230" s="13" t="s">
        <v>66</v>
      </c>
      <c r="J230" s="13" t="s">
        <v>67</v>
      </c>
      <c r="K230" s="13" t="s">
        <v>68</v>
      </c>
      <c r="L230" s="14"/>
      <c r="M230" s="14"/>
      <c r="N230" s="13" t="s">
        <v>69</v>
      </c>
      <c r="O230" s="14"/>
      <c r="P230" s="14"/>
      <c r="Q230" s="15"/>
      <c r="R230" s="14"/>
    </row>
    <row r="231" spans="1:18" ht="25.5" x14ac:dyDescent="0.25">
      <c r="A231" s="3" t="s">
        <v>1025</v>
      </c>
      <c r="B231" s="4" t="s">
        <v>1076</v>
      </c>
      <c r="C231" s="3" t="s">
        <v>1077</v>
      </c>
      <c r="D231" s="5"/>
      <c r="E231" s="6" t="s">
        <v>62</v>
      </c>
      <c r="F231" s="5" t="s">
        <v>1078</v>
      </c>
      <c r="G231" s="5" t="s">
        <v>1038</v>
      </c>
      <c r="H231" s="5" t="s">
        <v>1079</v>
      </c>
      <c r="I231" s="7" t="s">
        <v>66</v>
      </c>
      <c r="J231" s="7" t="s">
        <v>67</v>
      </c>
      <c r="K231" s="7" t="s">
        <v>99</v>
      </c>
      <c r="L231" s="8"/>
      <c r="M231" s="8"/>
      <c r="N231" s="7" t="s">
        <v>69</v>
      </c>
      <c r="O231" s="8"/>
      <c r="P231" s="8"/>
      <c r="Q231" s="9"/>
      <c r="R231" s="8"/>
    </row>
    <row r="232" spans="1:18" ht="25.5" x14ac:dyDescent="0.25">
      <c r="A232" s="10" t="s">
        <v>1025</v>
      </c>
      <c r="B232" s="11" t="s">
        <v>1080</v>
      </c>
      <c r="C232" s="10" t="s">
        <v>1081</v>
      </c>
      <c r="D232" s="12"/>
      <c r="E232" s="6" t="s">
        <v>62</v>
      </c>
      <c r="F232" s="12" t="s">
        <v>1082</v>
      </c>
      <c r="G232" s="12" t="s">
        <v>1083</v>
      </c>
      <c r="H232" s="12" t="s">
        <v>1084</v>
      </c>
      <c r="I232" s="13" t="s">
        <v>66</v>
      </c>
      <c r="J232" s="13" t="s">
        <v>67</v>
      </c>
      <c r="K232" s="13" t="s">
        <v>99</v>
      </c>
      <c r="L232" s="14"/>
      <c r="M232" s="14"/>
      <c r="N232" s="13" t="s">
        <v>69</v>
      </c>
      <c r="O232" s="14"/>
      <c r="P232" s="14"/>
      <c r="Q232" s="15"/>
      <c r="R232" s="14"/>
    </row>
    <row r="233" spans="1:18" ht="25.5" x14ac:dyDescent="0.25">
      <c r="A233" s="3" t="s">
        <v>1025</v>
      </c>
      <c r="B233" s="4" t="s">
        <v>1085</v>
      </c>
      <c r="C233" s="3" t="s">
        <v>1086</v>
      </c>
      <c r="D233" s="5"/>
      <c r="E233" s="6" t="s">
        <v>62</v>
      </c>
      <c r="F233" s="5" t="s">
        <v>1087</v>
      </c>
      <c r="G233" s="5" t="s">
        <v>1053</v>
      </c>
      <c r="H233" s="5" t="s">
        <v>1088</v>
      </c>
      <c r="I233" s="7" t="s">
        <v>66</v>
      </c>
      <c r="J233" s="7" t="s">
        <v>67</v>
      </c>
      <c r="K233" s="7" t="s">
        <v>99</v>
      </c>
      <c r="L233" s="8"/>
      <c r="M233" s="8"/>
      <c r="N233" s="7" t="s">
        <v>69</v>
      </c>
      <c r="O233" s="8"/>
      <c r="P233" s="8"/>
      <c r="Q233" s="9"/>
      <c r="R233" s="8"/>
    </row>
    <row r="234" spans="1:18" ht="25.5" x14ac:dyDescent="0.25">
      <c r="A234" s="10" t="s">
        <v>1025</v>
      </c>
      <c r="B234" s="11" t="s">
        <v>1089</v>
      </c>
      <c r="C234" s="10" t="s">
        <v>1090</v>
      </c>
      <c r="D234" s="12"/>
      <c r="E234" s="6" t="s">
        <v>62</v>
      </c>
      <c r="F234" s="12" t="s">
        <v>1091</v>
      </c>
      <c r="G234" s="12" t="s">
        <v>893</v>
      </c>
      <c r="H234" s="12" t="s">
        <v>1092</v>
      </c>
      <c r="I234" s="13" t="s">
        <v>66</v>
      </c>
      <c r="J234" s="13" t="s">
        <v>67</v>
      </c>
      <c r="K234" s="13" t="s">
        <v>99</v>
      </c>
      <c r="L234" s="14"/>
      <c r="M234" s="14"/>
      <c r="N234" s="13" t="s">
        <v>69</v>
      </c>
      <c r="O234" s="14"/>
      <c r="P234" s="14"/>
      <c r="Q234" s="15"/>
      <c r="R234" s="14"/>
    </row>
    <row r="235" spans="1:18" ht="25.5" x14ac:dyDescent="0.25">
      <c r="A235" s="3" t="s">
        <v>1025</v>
      </c>
      <c r="B235" s="4" t="s">
        <v>1093</v>
      </c>
      <c r="C235" s="3" t="s">
        <v>1094</v>
      </c>
      <c r="D235" s="5"/>
      <c r="E235" s="6" t="s">
        <v>62</v>
      </c>
      <c r="F235" s="5" t="s">
        <v>1095</v>
      </c>
      <c r="G235" s="5" t="s">
        <v>893</v>
      </c>
      <c r="H235" s="5" t="s">
        <v>1096</v>
      </c>
      <c r="I235" s="7" t="s">
        <v>66</v>
      </c>
      <c r="J235" s="7" t="s">
        <v>67</v>
      </c>
      <c r="K235" s="7" t="s">
        <v>99</v>
      </c>
      <c r="L235" s="8"/>
      <c r="M235" s="8"/>
      <c r="N235" s="7" t="s">
        <v>69</v>
      </c>
      <c r="O235" s="8"/>
      <c r="P235" s="8"/>
      <c r="Q235" s="9"/>
      <c r="R235" s="8"/>
    </row>
    <row r="236" spans="1:18" ht="25.5" x14ac:dyDescent="0.25">
      <c r="A236" s="10" t="s">
        <v>1025</v>
      </c>
      <c r="B236" s="11" t="s">
        <v>1097</v>
      </c>
      <c r="C236" s="10" t="s">
        <v>1098</v>
      </c>
      <c r="D236" s="12"/>
      <c r="E236" s="6" t="s">
        <v>62</v>
      </c>
      <c r="F236" s="12" t="s">
        <v>1099</v>
      </c>
      <c r="G236" s="12" t="s">
        <v>1038</v>
      </c>
      <c r="H236" s="12" t="s">
        <v>1100</v>
      </c>
      <c r="I236" s="13" t="s">
        <v>66</v>
      </c>
      <c r="J236" s="13" t="s">
        <v>67</v>
      </c>
      <c r="K236" s="13" t="s">
        <v>99</v>
      </c>
      <c r="L236" s="14"/>
      <c r="M236" s="14"/>
      <c r="N236" s="13" t="s">
        <v>69</v>
      </c>
      <c r="O236" s="14"/>
      <c r="P236" s="14"/>
      <c r="Q236" s="15"/>
      <c r="R236" s="14"/>
    </row>
    <row r="237" spans="1:18" ht="25.5" x14ac:dyDescent="0.25">
      <c r="A237" s="3" t="s">
        <v>1025</v>
      </c>
      <c r="B237" s="4" t="s">
        <v>1101</v>
      </c>
      <c r="C237" s="3" t="s">
        <v>1102</v>
      </c>
      <c r="D237" s="5"/>
      <c r="E237" s="6" t="s">
        <v>62</v>
      </c>
      <c r="F237" s="5" t="s">
        <v>1103</v>
      </c>
      <c r="G237" s="5" t="s">
        <v>907</v>
      </c>
      <c r="H237" s="5" t="s">
        <v>1104</v>
      </c>
      <c r="I237" s="7" t="s">
        <v>66</v>
      </c>
      <c r="J237" s="7" t="s">
        <v>67</v>
      </c>
      <c r="K237" s="7" t="s">
        <v>68</v>
      </c>
      <c r="L237" s="8"/>
      <c r="M237" s="8"/>
      <c r="N237" s="7" t="s">
        <v>69</v>
      </c>
      <c r="O237" s="8"/>
      <c r="P237" s="8"/>
      <c r="Q237" s="9"/>
      <c r="R237" s="8"/>
    </row>
    <row r="238" spans="1:18" ht="25.5" x14ac:dyDescent="0.25">
      <c r="A238" s="10" t="s">
        <v>1025</v>
      </c>
      <c r="B238" s="11" t="s">
        <v>1105</v>
      </c>
      <c r="C238" s="10" t="s">
        <v>1106</v>
      </c>
      <c r="D238" s="12"/>
      <c r="E238" s="6" t="s">
        <v>62</v>
      </c>
      <c r="F238" s="12" t="s">
        <v>1107</v>
      </c>
      <c r="G238" s="12" t="s">
        <v>320</v>
      </c>
      <c r="H238" s="12" t="s">
        <v>1108</v>
      </c>
      <c r="I238" s="13" t="s">
        <v>66</v>
      </c>
      <c r="J238" s="13" t="s">
        <v>67</v>
      </c>
      <c r="K238" s="13" t="s">
        <v>99</v>
      </c>
      <c r="L238" s="14"/>
      <c r="M238" s="14"/>
      <c r="N238" s="13" t="s">
        <v>69</v>
      </c>
      <c r="O238" s="14"/>
      <c r="P238" s="14"/>
      <c r="Q238" s="15"/>
      <c r="R238" s="14"/>
    </row>
    <row r="239" spans="1:18" ht="25.5" x14ac:dyDescent="0.25">
      <c r="A239" s="3" t="s">
        <v>1025</v>
      </c>
      <c r="B239" s="4" t="s">
        <v>1109</v>
      </c>
      <c r="C239" s="3" t="s">
        <v>1110</v>
      </c>
      <c r="D239" s="5"/>
      <c r="E239" s="6" t="s">
        <v>62</v>
      </c>
      <c r="F239" s="5" t="s">
        <v>1111</v>
      </c>
      <c r="G239" s="5" t="s">
        <v>1028</v>
      </c>
      <c r="H239" s="5" t="s">
        <v>1112</v>
      </c>
      <c r="I239" s="7" t="s">
        <v>66</v>
      </c>
      <c r="J239" s="7" t="s">
        <v>67</v>
      </c>
      <c r="K239" s="7" t="s">
        <v>99</v>
      </c>
      <c r="L239" s="8"/>
      <c r="M239" s="8"/>
      <c r="N239" s="7" t="s">
        <v>69</v>
      </c>
      <c r="O239" s="8"/>
      <c r="P239" s="8"/>
      <c r="Q239" s="9"/>
      <c r="R239" s="8"/>
    </row>
    <row r="240" spans="1:18" ht="25.5" x14ac:dyDescent="0.25">
      <c r="A240" s="10" t="s">
        <v>1025</v>
      </c>
      <c r="B240" s="11" t="s">
        <v>1113</v>
      </c>
      <c r="C240" s="10" t="s">
        <v>1114</v>
      </c>
      <c r="D240" s="12"/>
      <c r="E240" s="6" t="s">
        <v>62</v>
      </c>
      <c r="F240" s="12" t="s">
        <v>413</v>
      </c>
      <c r="G240" s="12" t="s">
        <v>414</v>
      </c>
      <c r="H240" s="12" t="s">
        <v>415</v>
      </c>
      <c r="I240" s="13" t="s">
        <v>66</v>
      </c>
      <c r="J240" s="13" t="s">
        <v>67</v>
      </c>
      <c r="K240" s="13" t="s">
        <v>68</v>
      </c>
      <c r="L240" s="14"/>
      <c r="M240" s="14"/>
      <c r="N240" s="13" t="s">
        <v>69</v>
      </c>
      <c r="O240" s="14"/>
      <c r="P240" s="14"/>
      <c r="Q240" s="15"/>
      <c r="R240" s="14"/>
    </row>
    <row r="241" spans="1:18" ht="25.5" x14ac:dyDescent="0.25">
      <c r="A241" s="3" t="s">
        <v>1115</v>
      </c>
      <c r="B241" s="4" t="s">
        <v>1116</v>
      </c>
      <c r="C241" s="3" t="s">
        <v>61</v>
      </c>
      <c r="D241" s="5"/>
      <c r="E241" s="6" t="s">
        <v>62</v>
      </c>
      <c r="F241" s="5" t="s">
        <v>1117</v>
      </c>
      <c r="G241" s="5" t="s">
        <v>1118</v>
      </c>
      <c r="H241" s="5" t="s">
        <v>1119</v>
      </c>
      <c r="I241" s="7" t="s">
        <v>66</v>
      </c>
      <c r="J241" s="7" t="s">
        <v>67</v>
      </c>
      <c r="K241" s="7" t="s">
        <v>99</v>
      </c>
      <c r="L241" s="8"/>
      <c r="M241" s="8"/>
      <c r="N241" s="7" t="s">
        <v>69</v>
      </c>
      <c r="O241" s="8"/>
      <c r="P241" s="8"/>
      <c r="Q241" s="9"/>
      <c r="R241" s="8"/>
    </row>
    <row r="242" spans="1:18" ht="25.5" x14ac:dyDescent="0.25">
      <c r="A242" s="10" t="s">
        <v>1115</v>
      </c>
      <c r="B242" s="11" t="s">
        <v>1120</v>
      </c>
      <c r="C242" s="10" t="s">
        <v>1121</v>
      </c>
      <c r="D242" s="12"/>
      <c r="E242" s="6" t="s">
        <v>62</v>
      </c>
      <c r="F242" s="12" t="s">
        <v>1122</v>
      </c>
      <c r="G242" s="12" t="s">
        <v>1123</v>
      </c>
      <c r="H242" s="12" t="s">
        <v>1124</v>
      </c>
      <c r="I242" s="13" t="s">
        <v>66</v>
      </c>
      <c r="J242" s="13" t="s">
        <v>67</v>
      </c>
      <c r="K242" s="13" t="s">
        <v>68</v>
      </c>
      <c r="L242" s="14"/>
      <c r="M242" s="14"/>
      <c r="N242" s="13" t="s">
        <v>69</v>
      </c>
      <c r="O242" s="14"/>
      <c r="P242" s="14"/>
      <c r="Q242" s="15"/>
      <c r="R242" s="14"/>
    </row>
    <row r="243" spans="1:18" ht="25.5" x14ac:dyDescent="0.25">
      <c r="A243" s="3" t="s">
        <v>1115</v>
      </c>
      <c r="B243" s="4" t="s">
        <v>1125</v>
      </c>
      <c r="C243" s="3" t="s">
        <v>1126</v>
      </c>
      <c r="D243" s="5"/>
      <c r="E243" s="6" t="s">
        <v>62</v>
      </c>
      <c r="F243" s="5" t="s">
        <v>1127</v>
      </c>
      <c r="G243" s="5" t="s">
        <v>1128</v>
      </c>
      <c r="H243" s="5" t="s">
        <v>1129</v>
      </c>
      <c r="I243" s="7" t="s">
        <v>66</v>
      </c>
      <c r="J243" s="7" t="s">
        <v>67</v>
      </c>
      <c r="K243" s="7" t="s">
        <v>68</v>
      </c>
      <c r="L243" s="8"/>
      <c r="M243" s="8"/>
      <c r="N243" s="7" t="s">
        <v>69</v>
      </c>
      <c r="O243" s="8"/>
      <c r="P243" s="8"/>
      <c r="Q243" s="9"/>
      <c r="R243" s="8"/>
    </row>
    <row r="244" spans="1:18" ht="25.5" x14ac:dyDescent="0.25">
      <c r="A244" s="10" t="s">
        <v>1115</v>
      </c>
      <c r="B244" s="11" t="s">
        <v>1130</v>
      </c>
      <c r="C244" s="10" t="s">
        <v>1131</v>
      </c>
      <c r="D244" s="12"/>
      <c r="E244" s="6" t="s">
        <v>62</v>
      </c>
      <c r="F244" s="12" t="s">
        <v>1132</v>
      </c>
      <c r="G244" s="12" t="s">
        <v>1133</v>
      </c>
      <c r="H244" s="12" t="s">
        <v>1134</v>
      </c>
      <c r="I244" s="13" t="s">
        <v>66</v>
      </c>
      <c r="J244" s="13" t="s">
        <v>67</v>
      </c>
      <c r="K244" s="13" t="s">
        <v>68</v>
      </c>
      <c r="L244" s="14"/>
      <c r="M244" s="14"/>
      <c r="N244" s="13" t="s">
        <v>69</v>
      </c>
      <c r="O244" s="14"/>
      <c r="P244" s="14"/>
      <c r="Q244" s="15"/>
      <c r="R244" s="14"/>
    </row>
    <row r="245" spans="1:18" ht="25.5" x14ac:dyDescent="0.25">
      <c r="A245" s="3" t="s">
        <v>1115</v>
      </c>
      <c r="B245" s="4" t="s">
        <v>1135</v>
      </c>
      <c r="C245" s="3" t="s">
        <v>1136</v>
      </c>
      <c r="D245" s="5"/>
      <c r="E245" s="6" t="s">
        <v>62</v>
      </c>
      <c r="F245" s="5" t="s">
        <v>1137</v>
      </c>
      <c r="G245" s="5" t="s">
        <v>1138</v>
      </c>
      <c r="H245" s="5" t="s">
        <v>1139</v>
      </c>
      <c r="I245" s="7" t="s">
        <v>66</v>
      </c>
      <c r="J245" s="7" t="s">
        <v>67</v>
      </c>
      <c r="K245" s="7" t="s">
        <v>68</v>
      </c>
      <c r="L245" s="8"/>
      <c r="M245" s="8"/>
      <c r="N245" s="7" t="s">
        <v>69</v>
      </c>
      <c r="O245" s="8"/>
      <c r="P245" s="8"/>
      <c r="Q245" s="9"/>
      <c r="R245" s="8"/>
    </row>
    <row r="246" spans="1:18" ht="25.5" x14ac:dyDescent="0.25">
      <c r="A246" s="10" t="s">
        <v>1115</v>
      </c>
      <c r="B246" s="11" t="s">
        <v>1140</v>
      </c>
      <c r="C246" s="10" t="s">
        <v>1141</v>
      </c>
      <c r="D246" s="12"/>
      <c r="E246" s="6" t="s">
        <v>62</v>
      </c>
      <c r="F246" s="12" t="s">
        <v>1142</v>
      </c>
      <c r="G246" s="12" t="s">
        <v>1128</v>
      </c>
      <c r="H246" s="12" t="s">
        <v>1143</v>
      </c>
      <c r="I246" s="13" t="s">
        <v>66</v>
      </c>
      <c r="J246" s="13" t="s">
        <v>67</v>
      </c>
      <c r="K246" s="13" t="s">
        <v>99</v>
      </c>
      <c r="L246" s="14"/>
      <c r="M246" s="14"/>
      <c r="N246" s="13" t="s">
        <v>69</v>
      </c>
      <c r="O246" s="14"/>
      <c r="P246" s="14"/>
      <c r="Q246" s="15"/>
      <c r="R246" s="14"/>
    </row>
    <row r="247" spans="1:18" ht="25.5" x14ac:dyDescent="0.25">
      <c r="A247" s="3" t="s">
        <v>1115</v>
      </c>
      <c r="B247" s="4" t="s">
        <v>1144</v>
      </c>
      <c r="C247" s="3" t="s">
        <v>1145</v>
      </c>
      <c r="D247" s="5"/>
      <c r="E247" s="6" t="s">
        <v>62</v>
      </c>
      <c r="F247" s="5" t="s">
        <v>1146</v>
      </c>
      <c r="G247" s="5" t="s">
        <v>325</v>
      </c>
      <c r="H247" s="5" t="s">
        <v>1147</v>
      </c>
      <c r="I247" s="7" t="s">
        <v>66</v>
      </c>
      <c r="J247" s="7" t="s">
        <v>67</v>
      </c>
      <c r="K247" s="7" t="s">
        <v>68</v>
      </c>
      <c r="L247" s="8"/>
      <c r="M247" s="8"/>
      <c r="N247" s="7" t="s">
        <v>69</v>
      </c>
      <c r="O247" s="8"/>
      <c r="P247" s="8"/>
      <c r="Q247" s="9"/>
      <c r="R247" s="8"/>
    </row>
    <row r="248" spans="1:18" ht="25.5" x14ac:dyDescent="0.25">
      <c r="A248" s="10" t="s">
        <v>1115</v>
      </c>
      <c r="B248" s="11" t="s">
        <v>1148</v>
      </c>
      <c r="C248" s="10" t="s">
        <v>1149</v>
      </c>
      <c r="D248" s="12"/>
      <c r="E248" s="6" t="s">
        <v>62</v>
      </c>
      <c r="F248" s="12" t="s">
        <v>1150</v>
      </c>
      <c r="G248" s="12" t="s">
        <v>1151</v>
      </c>
      <c r="H248" s="12" t="s">
        <v>1152</v>
      </c>
      <c r="I248" s="13" t="s">
        <v>66</v>
      </c>
      <c r="J248" s="13" t="s">
        <v>67</v>
      </c>
      <c r="K248" s="13" t="s">
        <v>68</v>
      </c>
      <c r="L248" s="14"/>
      <c r="M248" s="14"/>
      <c r="N248" s="13" t="s">
        <v>69</v>
      </c>
      <c r="O248" s="14"/>
      <c r="P248" s="14"/>
      <c r="Q248" s="15"/>
      <c r="R248" s="14"/>
    </row>
    <row r="249" spans="1:18" ht="25.5" x14ac:dyDescent="0.25">
      <c r="A249" s="3" t="s">
        <v>1115</v>
      </c>
      <c r="B249" s="4" t="s">
        <v>1153</v>
      </c>
      <c r="C249" s="3" t="s">
        <v>1154</v>
      </c>
      <c r="D249" s="5"/>
      <c r="E249" s="6" t="s">
        <v>62</v>
      </c>
      <c r="F249" s="5" t="s">
        <v>413</v>
      </c>
      <c r="G249" s="5" t="s">
        <v>414</v>
      </c>
      <c r="H249" s="5" t="s">
        <v>415</v>
      </c>
      <c r="I249" s="7" t="s">
        <v>66</v>
      </c>
      <c r="J249" s="7" t="s">
        <v>67</v>
      </c>
      <c r="K249" s="7" t="s">
        <v>68</v>
      </c>
      <c r="L249" s="8"/>
      <c r="M249" s="8"/>
      <c r="N249" s="7" t="s">
        <v>69</v>
      </c>
      <c r="O249" s="8"/>
      <c r="P249" s="8"/>
      <c r="Q249" s="9"/>
      <c r="R249" s="8"/>
    </row>
    <row r="250" spans="1:18" ht="25.5" x14ac:dyDescent="0.25">
      <c r="A250" s="10" t="s">
        <v>1115</v>
      </c>
      <c r="B250" s="11" t="s">
        <v>1155</v>
      </c>
      <c r="C250" s="10" t="s">
        <v>1156</v>
      </c>
      <c r="D250" s="12"/>
      <c r="E250" s="6" t="s">
        <v>62</v>
      </c>
      <c r="F250" s="12" t="s">
        <v>1157</v>
      </c>
      <c r="G250" s="12" t="s">
        <v>1158</v>
      </c>
      <c r="H250" s="12" t="s">
        <v>1159</v>
      </c>
      <c r="I250" s="13" t="s">
        <v>66</v>
      </c>
      <c r="J250" s="13" t="s">
        <v>67</v>
      </c>
      <c r="K250" s="13" t="s">
        <v>99</v>
      </c>
      <c r="L250" s="14"/>
      <c r="M250" s="14"/>
      <c r="N250" s="13" t="s">
        <v>69</v>
      </c>
      <c r="O250" s="14"/>
      <c r="P250" s="14"/>
      <c r="Q250" s="15"/>
      <c r="R250" s="14"/>
    </row>
    <row r="251" spans="1:18" ht="25.5" x14ac:dyDescent="0.25">
      <c r="A251" s="3" t="s">
        <v>1115</v>
      </c>
      <c r="B251" s="4" t="s">
        <v>1160</v>
      </c>
      <c r="C251" s="3" t="s">
        <v>1161</v>
      </c>
      <c r="D251" s="5"/>
      <c r="E251" s="6" t="s">
        <v>108</v>
      </c>
      <c r="F251" s="5" t="s">
        <v>1162</v>
      </c>
      <c r="G251" s="5" t="s">
        <v>1128</v>
      </c>
      <c r="H251" s="5" t="s">
        <v>1163</v>
      </c>
      <c r="I251" s="7" t="s">
        <v>66</v>
      </c>
      <c r="J251" s="7" t="s">
        <v>67</v>
      </c>
      <c r="K251" s="7" t="s">
        <v>99</v>
      </c>
      <c r="L251" s="8"/>
      <c r="M251" s="8"/>
      <c r="N251" s="7" t="s">
        <v>69</v>
      </c>
      <c r="O251" s="8"/>
      <c r="P251" s="8"/>
      <c r="Q251" s="9"/>
      <c r="R251" s="8"/>
    </row>
    <row r="252" spans="1:18" ht="25.5" x14ac:dyDescent="0.25">
      <c r="A252" s="10" t="s">
        <v>1115</v>
      </c>
      <c r="B252" s="11" t="s">
        <v>1164</v>
      </c>
      <c r="C252" s="10" t="s">
        <v>1165</v>
      </c>
      <c r="D252" s="12"/>
      <c r="E252" s="6" t="s">
        <v>62</v>
      </c>
      <c r="F252" s="12" t="s">
        <v>1166</v>
      </c>
      <c r="G252" s="12" t="s">
        <v>1167</v>
      </c>
      <c r="H252" s="12" t="s">
        <v>1168</v>
      </c>
      <c r="I252" s="13" t="s">
        <v>66</v>
      </c>
      <c r="J252" s="13" t="s">
        <v>67</v>
      </c>
      <c r="K252" s="13" t="s">
        <v>68</v>
      </c>
      <c r="L252" s="14"/>
      <c r="M252" s="14"/>
      <c r="N252" s="13" t="s">
        <v>69</v>
      </c>
      <c r="O252" s="14"/>
      <c r="P252" s="14"/>
      <c r="Q252" s="15"/>
      <c r="R252" s="14"/>
    </row>
    <row r="253" spans="1:18" ht="25.5" x14ac:dyDescent="0.25">
      <c r="A253" s="3" t="s">
        <v>1115</v>
      </c>
      <c r="B253" s="4" t="s">
        <v>1169</v>
      </c>
      <c r="C253" s="3" t="s">
        <v>1170</v>
      </c>
      <c r="D253" s="5"/>
      <c r="E253" s="6" t="s">
        <v>62</v>
      </c>
      <c r="F253" s="5" t="s">
        <v>1171</v>
      </c>
      <c r="G253" s="5" t="s">
        <v>485</v>
      </c>
      <c r="H253" s="5" t="s">
        <v>1172</v>
      </c>
      <c r="I253" s="7" t="s">
        <v>66</v>
      </c>
      <c r="J253" s="7" t="s">
        <v>67</v>
      </c>
      <c r="K253" s="7" t="s">
        <v>68</v>
      </c>
      <c r="L253" s="8"/>
      <c r="M253" s="8"/>
      <c r="N253" s="7" t="s">
        <v>69</v>
      </c>
      <c r="O253" s="8"/>
      <c r="P253" s="8"/>
      <c r="Q253" s="9"/>
      <c r="R253" s="8"/>
    </row>
    <row r="254" spans="1:18" ht="25.5" x14ac:dyDescent="0.25">
      <c r="A254" s="10" t="s">
        <v>1115</v>
      </c>
      <c r="B254" s="11" t="s">
        <v>1173</v>
      </c>
      <c r="C254" s="10" t="s">
        <v>1174</v>
      </c>
      <c r="D254" s="12"/>
      <c r="E254" s="6" t="s">
        <v>62</v>
      </c>
      <c r="F254" s="12" t="s">
        <v>413</v>
      </c>
      <c r="G254" s="12" t="s">
        <v>414</v>
      </c>
      <c r="H254" s="12" t="s">
        <v>415</v>
      </c>
      <c r="I254" s="13" t="s">
        <v>66</v>
      </c>
      <c r="J254" s="13" t="s">
        <v>67</v>
      </c>
      <c r="K254" s="13" t="s">
        <v>68</v>
      </c>
      <c r="L254" s="14"/>
      <c r="M254" s="14"/>
      <c r="N254" s="13" t="s">
        <v>69</v>
      </c>
      <c r="O254" s="14"/>
      <c r="P254" s="14"/>
      <c r="Q254" s="15"/>
      <c r="R254" s="14"/>
    </row>
    <row r="255" spans="1:18" ht="25.5" x14ac:dyDescent="0.25">
      <c r="A255" s="3" t="s">
        <v>1115</v>
      </c>
      <c r="B255" s="4" t="s">
        <v>1175</v>
      </c>
      <c r="C255" s="3" t="s">
        <v>1176</v>
      </c>
      <c r="D255" s="5"/>
      <c r="E255" s="6" t="s">
        <v>62</v>
      </c>
      <c r="F255" s="5" t="s">
        <v>1177</v>
      </c>
      <c r="G255" s="5" t="s">
        <v>1178</v>
      </c>
      <c r="H255" s="5" t="s">
        <v>1179</v>
      </c>
      <c r="I255" s="7" t="s">
        <v>66</v>
      </c>
      <c r="J255" s="7" t="s">
        <v>67</v>
      </c>
      <c r="K255" s="7" t="s">
        <v>99</v>
      </c>
      <c r="L255" s="8"/>
      <c r="M255" s="8"/>
      <c r="N255" s="7" t="s">
        <v>69</v>
      </c>
      <c r="O255" s="8"/>
      <c r="P255" s="8"/>
      <c r="Q255" s="9"/>
      <c r="R255" s="8"/>
    </row>
    <row r="256" spans="1:18" ht="25.5" x14ac:dyDescent="0.25">
      <c r="A256" s="10" t="s">
        <v>1115</v>
      </c>
      <c r="B256" s="11" t="s">
        <v>1180</v>
      </c>
      <c r="C256" s="10" t="s">
        <v>1181</v>
      </c>
      <c r="D256" s="12"/>
      <c r="E256" s="6" t="s">
        <v>62</v>
      </c>
      <c r="F256" s="12" t="s">
        <v>1182</v>
      </c>
      <c r="G256" s="12" t="s">
        <v>135</v>
      </c>
      <c r="H256" s="12" t="s">
        <v>1183</v>
      </c>
      <c r="I256" s="13" t="s">
        <v>66</v>
      </c>
      <c r="J256" s="13" t="s">
        <v>67</v>
      </c>
      <c r="K256" s="13" t="s">
        <v>99</v>
      </c>
      <c r="L256" s="14"/>
      <c r="M256" s="14"/>
      <c r="N256" s="13" t="s">
        <v>69</v>
      </c>
      <c r="O256" s="14"/>
      <c r="P256" s="14"/>
      <c r="Q256" s="15"/>
      <c r="R256" s="14"/>
    </row>
    <row r="257" spans="1:18" ht="25.5" x14ac:dyDescent="0.25">
      <c r="A257" s="3" t="s">
        <v>1115</v>
      </c>
      <c r="B257" s="4" t="s">
        <v>1184</v>
      </c>
      <c r="C257" s="3" t="s">
        <v>1185</v>
      </c>
      <c r="D257" s="5"/>
      <c r="E257" s="6" t="s">
        <v>62</v>
      </c>
      <c r="F257" s="5" t="s">
        <v>1186</v>
      </c>
      <c r="G257" s="5" t="s">
        <v>1167</v>
      </c>
      <c r="H257" s="5" t="s">
        <v>1187</v>
      </c>
      <c r="I257" s="7" t="s">
        <v>66</v>
      </c>
      <c r="J257" s="7" t="s">
        <v>67</v>
      </c>
      <c r="K257" s="7" t="s">
        <v>99</v>
      </c>
      <c r="L257" s="8"/>
      <c r="M257" s="8"/>
      <c r="N257" s="7" t="s">
        <v>69</v>
      </c>
      <c r="O257" s="8"/>
      <c r="P257" s="8"/>
      <c r="Q257" s="9"/>
      <c r="R257" s="8"/>
    </row>
    <row r="258" spans="1:18" ht="25.5" x14ac:dyDescent="0.25">
      <c r="A258" s="10" t="s">
        <v>1115</v>
      </c>
      <c r="B258" s="11" t="s">
        <v>1188</v>
      </c>
      <c r="C258" s="10" t="s">
        <v>1189</v>
      </c>
      <c r="D258" s="12"/>
      <c r="E258" s="6" t="s">
        <v>62</v>
      </c>
      <c r="F258" s="12" t="s">
        <v>1190</v>
      </c>
      <c r="G258" s="12" t="s">
        <v>1191</v>
      </c>
      <c r="H258" s="12" t="s">
        <v>1192</v>
      </c>
      <c r="I258" s="13" t="s">
        <v>66</v>
      </c>
      <c r="J258" s="13" t="s">
        <v>67</v>
      </c>
      <c r="K258" s="13" t="s">
        <v>99</v>
      </c>
      <c r="L258" s="14"/>
      <c r="M258" s="14"/>
      <c r="N258" s="13" t="s">
        <v>69</v>
      </c>
      <c r="O258" s="14"/>
      <c r="P258" s="14"/>
      <c r="Q258" s="15"/>
      <c r="R258" s="14"/>
    </row>
    <row r="259" spans="1:18" ht="25.5" x14ac:dyDescent="0.25">
      <c r="A259" s="3" t="s">
        <v>1115</v>
      </c>
      <c r="B259" s="4" t="s">
        <v>1193</v>
      </c>
      <c r="C259" s="3" t="s">
        <v>1194</v>
      </c>
      <c r="D259" s="5"/>
      <c r="E259" s="6" t="s">
        <v>62</v>
      </c>
      <c r="F259" s="5" t="s">
        <v>1195</v>
      </c>
      <c r="G259" s="5" t="s">
        <v>325</v>
      </c>
      <c r="H259" s="5" t="s">
        <v>1196</v>
      </c>
      <c r="I259" s="7" t="s">
        <v>66</v>
      </c>
      <c r="J259" s="7" t="s">
        <v>67</v>
      </c>
      <c r="K259" s="7" t="s">
        <v>99</v>
      </c>
      <c r="L259" s="8"/>
      <c r="M259" s="8"/>
      <c r="N259" s="7" t="s">
        <v>69</v>
      </c>
      <c r="O259" s="8"/>
      <c r="P259" s="8"/>
      <c r="Q259" s="9"/>
      <c r="R259" s="8"/>
    </row>
    <row r="260" spans="1:18" ht="25.5" x14ac:dyDescent="0.25">
      <c r="A260" s="10" t="s">
        <v>1115</v>
      </c>
      <c r="B260" s="11" t="s">
        <v>1197</v>
      </c>
      <c r="C260" s="10" t="s">
        <v>1198</v>
      </c>
      <c r="D260" s="12"/>
      <c r="E260" s="6" t="s">
        <v>62</v>
      </c>
      <c r="F260" s="12" t="s">
        <v>1199</v>
      </c>
      <c r="G260" s="12" t="s">
        <v>325</v>
      </c>
      <c r="H260" s="12" t="s">
        <v>1200</v>
      </c>
      <c r="I260" s="13" t="s">
        <v>66</v>
      </c>
      <c r="J260" s="13" t="s">
        <v>67</v>
      </c>
      <c r="K260" s="13" t="s">
        <v>68</v>
      </c>
      <c r="L260" s="14"/>
      <c r="M260" s="14"/>
      <c r="N260" s="13" t="s">
        <v>69</v>
      </c>
      <c r="O260" s="14"/>
      <c r="P260" s="14"/>
      <c r="Q260" s="15"/>
      <c r="R260" s="14"/>
    </row>
    <row r="261" spans="1:18" ht="38.25" x14ac:dyDescent="0.25">
      <c r="A261" s="3" t="s">
        <v>1115</v>
      </c>
      <c r="B261" s="4" t="s">
        <v>1201</v>
      </c>
      <c r="C261" s="3" t="s">
        <v>1202</v>
      </c>
      <c r="D261" s="5"/>
      <c r="E261" s="6" t="s">
        <v>62</v>
      </c>
      <c r="F261" s="5" t="s">
        <v>1203</v>
      </c>
      <c r="G261" s="5" t="s">
        <v>325</v>
      </c>
      <c r="H261" s="5" t="s">
        <v>1204</v>
      </c>
      <c r="I261" s="7" t="s">
        <v>66</v>
      </c>
      <c r="J261" s="7" t="s">
        <v>67</v>
      </c>
      <c r="K261" s="7" t="s">
        <v>68</v>
      </c>
      <c r="L261" s="8"/>
      <c r="M261" s="8"/>
      <c r="N261" s="7" t="s">
        <v>69</v>
      </c>
      <c r="O261" s="8"/>
      <c r="P261" s="8"/>
      <c r="Q261" s="9"/>
      <c r="R261" s="8"/>
    </row>
    <row r="262" spans="1:18" ht="25.5" x14ac:dyDescent="0.25">
      <c r="A262" s="10" t="s">
        <v>1115</v>
      </c>
      <c r="B262" s="11" t="s">
        <v>1205</v>
      </c>
      <c r="C262" s="10" t="s">
        <v>1206</v>
      </c>
      <c r="D262" s="12"/>
      <c r="E262" s="6" t="s">
        <v>62</v>
      </c>
      <c r="F262" s="12" t="s">
        <v>1207</v>
      </c>
      <c r="G262" s="12" t="s">
        <v>325</v>
      </c>
      <c r="H262" s="12" t="s">
        <v>1208</v>
      </c>
      <c r="I262" s="13" t="s">
        <v>66</v>
      </c>
      <c r="J262" s="13" t="s">
        <v>67</v>
      </c>
      <c r="K262" s="13" t="s">
        <v>68</v>
      </c>
      <c r="L262" s="14"/>
      <c r="M262" s="14"/>
      <c r="N262" s="13" t="s">
        <v>69</v>
      </c>
      <c r="O262" s="14"/>
      <c r="P262" s="14"/>
      <c r="Q262" s="15"/>
      <c r="R262" s="14"/>
    </row>
    <row r="263" spans="1:18" ht="25.5" x14ac:dyDescent="0.25">
      <c r="A263" s="3" t="s">
        <v>1115</v>
      </c>
      <c r="B263" s="4" t="s">
        <v>1209</v>
      </c>
      <c r="C263" s="3" t="s">
        <v>1210</v>
      </c>
      <c r="D263" s="5"/>
      <c r="E263" s="6" t="s">
        <v>62</v>
      </c>
      <c r="F263" s="5" t="s">
        <v>1211</v>
      </c>
      <c r="G263" s="5" t="s">
        <v>485</v>
      </c>
      <c r="H263" s="5" t="s">
        <v>1212</v>
      </c>
      <c r="I263" s="7" t="s">
        <v>66</v>
      </c>
      <c r="J263" s="7" t="s">
        <v>67</v>
      </c>
      <c r="K263" s="7" t="s">
        <v>68</v>
      </c>
      <c r="L263" s="8"/>
      <c r="M263" s="8"/>
      <c r="N263" s="7" t="s">
        <v>69</v>
      </c>
      <c r="O263" s="8"/>
      <c r="P263" s="8"/>
      <c r="Q263" s="9"/>
      <c r="R263" s="8"/>
    </row>
    <row r="264" spans="1:18" ht="25.5" x14ac:dyDescent="0.25">
      <c r="A264" s="10" t="s">
        <v>1115</v>
      </c>
      <c r="B264" s="11" t="s">
        <v>1213</v>
      </c>
      <c r="C264" s="10" t="s">
        <v>1214</v>
      </c>
      <c r="D264" s="12"/>
      <c r="E264" s="6" t="s">
        <v>62</v>
      </c>
      <c r="F264" s="12" t="s">
        <v>1215</v>
      </c>
      <c r="G264" s="12" t="s">
        <v>1216</v>
      </c>
      <c r="H264" s="12" t="s">
        <v>1217</v>
      </c>
      <c r="I264" s="13" t="s">
        <v>66</v>
      </c>
      <c r="J264" s="13" t="s">
        <v>67</v>
      </c>
      <c r="K264" s="13" t="s">
        <v>99</v>
      </c>
      <c r="L264" s="14"/>
      <c r="M264" s="14"/>
      <c r="N264" s="13" t="s">
        <v>69</v>
      </c>
      <c r="O264" s="14"/>
      <c r="P264" s="14"/>
      <c r="Q264" s="15"/>
      <c r="R264" s="14"/>
    </row>
    <row r="265" spans="1:18" ht="25.5" x14ac:dyDescent="0.25">
      <c r="A265" s="3" t="s">
        <v>1115</v>
      </c>
      <c r="B265" s="4" t="s">
        <v>1218</v>
      </c>
      <c r="C265" s="3" t="s">
        <v>1219</v>
      </c>
      <c r="D265" s="5"/>
      <c r="E265" s="6" t="s">
        <v>108</v>
      </c>
      <c r="F265" s="5" t="s">
        <v>1220</v>
      </c>
      <c r="G265" s="5" t="s">
        <v>1128</v>
      </c>
      <c r="H265" s="5" t="s">
        <v>1221</v>
      </c>
      <c r="I265" s="7" t="s">
        <v>66</v>
      </c>
      <c r="J265" s="7" t="s">
        <v>67</v>
      </c>
      <c r="K265" s="7" t="s">
        <v>99</v>
      </c>
      <c r="L265" s="8"/>
      <c r="M265" s="8"/>
      <c r="N265" s="7" t="s">
        <v>69</v>
      </c>
      <c r="O265" s="8"/>
      <c r="P265" s="8"/>
      <c r="Q265" s="9"/>
      <c r="R265" s="8"/>
    </row>
    <row r="266" spans="1:18" ht="25.5" x14ac:dyDescent="0.25">
      <c r="A266" s="10" t="s">
        <v>1115</v>
      </c>
      <c r="B266" s="11" t="s">
        <v>1222</v>
      </c>
      <c r="C266" s="10" t="s">
        <v>1223</v>
      </c>
      <c r="D266" s="12"/>
      <c r="E266" s="6" t="s">
        <v>62</v>
      </c>
      <c r="F266" s="12" t="s">
        <v>1224</v>
      </c>
      <c r="G266" s="12" t="s">
        <v>1225</v>
      </c>
      <c r="H266" s="12" t="s">
        <v>1226</v>
      </c>
      <c r="I266" s="13" t="s">
        <v>66</v>
      </c>
      <c r="J266" s="13" t="s">
        <v>67</v>
      </c>
      <c r="K266" s="13" t="s">
        <v>99</v>
      </c>
      <c r="L266" s="14"/>
      <c r="M266" s="14"/>
      <c r="N266" s="13" t="s">
        <v>69</v>
      </c>
      <c r="O266" s="14"/>
      <c r="P266" s="14"/>
      <c r="Q266" s="15"/>
      <c r="R266" s="14"/>
    </row>
    <row r="267" spans="1:18" ht="25.5" x14ac:dyDescent="0.25">
      <c r="A267" s="3" t="s">
        <v>1115</v>
      </c>
      <c r="B267" s="4" t="s">
        <v>1227</v>
      </c>
      <c r="C267" s="3" t="s">
        <v>1228</v>
      </c>
      <c r="D267" s="5"/>
      <c r="E267" s="6" t="s">
        <v>62</v>
      </c>
      <c r="F267" s="5" t="s">
        <v>1229</v>
      </c>
      <c r="G267" s="5" t="s">
        <v>1128</v>
      </c>
      <c r="H267" s="5" t="s">
        <v>1230</v>
      </c>
      <c r="I267" s="7" t="s">
        <v>66</v>
      </c>
      <c r="J267" s="7" t="s">
        <v>67</v>
      </c>
      <c r="K267" s="7" t="s">
        <v>99</v>
      </c>
      <c r="L267" s="8"/>
      <c r="M267" s="8"/>
      <c r="N267" s="7" t="s">
        <v>69</v>
      </c>
      <c r="O267" s="8"/>
      <c r="P267" s="8"/>
      <c r="Q267" s="9"/>
      <c r="R267" s="8"/>
    </row>
    <row r="268" spans="1:18" ht="25.5" x14ac:dyDescent="0.25">
      <c r="A268" s="10" t="s">
        <v>1115</v>
      </c>
      <c r="B268" s="11" t="s">
        <v>1231</v>
      </c>
      <c r="C268" s="10" t="s">
        <v>1232</v>
      </c>
      <c r="D268" s="12"/>
      <c r="E268" s="6" t="s">
        <v>62</v>
      </c>
      <c r="F268" s="12" t="s">
        <v>1233</v>
      </c>
      <c r="G268" s="12" t="s">
        <v>1234</v>
      </c>
      <c r="H268" s="12" t="s">
        <v>1235</v>
      </c>
      <c r="I268" s="13" t="s">
        <v>66</v>
      </c>
      <c r="J268" s="13" t="s">
        <v>67</v>
      </c>
      <c r="K268" s="13" t="s">
        <v>68</v>
      </c>
      <c r="L268" s="14"/>
      <c r="M268" s="14"/>
      <c r="N268" s="13" t="s">
        <v>69</v>
      </c>
      <c r="O268" s="14"/>
      <c r="P268" s="14"/>
      <c r="Q268" s="15"/>
      <c r="R268" s="14"/>
    </row>
    <row r="269" spans="1:18" ht="25.5" x14ac:dyDescent="0.25">
      <c r="A269" s="3" t="s">
        <v>1115</v>
      </c>
      <c r="B269" s="4" t="s">
        <v>1236</v>
      </c>
      <c r="C269" s="3" t="s">
        <v>1237</v>
      </c>
      <c r="D269" s="5"/>
      <c r="E269" s="6" t="s">
        <v>62</v>
      </c>
      <c r="F269" s="5" t="s">
        <v>1238</v>
      </c>
      <c r="G269" s="5" t="s">
        <v>1128</v>
      </c>
      <c r="H269" s="5" t="s">
        <v>1239</v>
      </c>
      <c r="I269" s="7" t="s">
        <v>66</v>
      </c>
      <c r="J269" s="7" t="s">
        <v>67</v>
      </c>
      <c r="K269" s="7" t="s">
        <v>99</v>
      </c>
      <c r="L269" s="8"/>
      <c r="M269" s="8"/>
      <c r="N269" s="7" t="s">
        <v>69</v>
      </c>
      <c r="O269" s="8"/>
      <c r="P269" s="8"/>
      <c r="Q269" s="9"/>
      <c r="R269" s="8"/>
    </row>
    <row r="270" spans="1:18" ht="25.5" x14ac:dyDescent="0.25">
      <c r="A270" s="10" t="s">
        <v>1115</v>
      </c>
      <c r="B270" s="11" t="s">
        <v>1240</v>
      </c>
      <c r="C270" s="10" t="s">
        <v>1241</v>
      </c>
      <c r="D270" s="12"/>
      <c r="E270" s="6" t="s">
        <v>62</v>
      </c>
      <c r="F270" s="12" t="s">
        <v>1242</v>
      </c>
      <c r="G270" s="12" t="s">
        <v>1128</v>
      </c>
      <c r="H270" s="12" t="s">
        <v>1243</v>
      </c>
      <c r="I270" s="13" t="s">
        <v>66</v>
      </c>
      <c r="J270" s="13" t="s">
        <v>67</v>
      </c>
      <c r="K270" s="13" t="s">
        <v>99</v>
      </c>
      <c r="L270" s="14"/>
      <c r="M270" s="14"/>
      <c r="N270" s="13" t="s">
        <v>69</v>
      </c>
      <c r="O270" s="14"/>
      <c r="P270" s="14"/>
      <c r="Q270" s="15"/>
      <c r="R270" s="14"/>
    </row>
    <row r="271" spans="1:18" ht="25.5" x14ac:dyDescent="0.25">
      <c r="A271" s="3" t="s">
        <v>1115</v>
      </c>
      <c r="B271" s="4" t="s">
        <v>1244</v>
      </c>
      <c r="C271" s="3" t="s">
        <v>1245</v>
      </c>
      <c r="D271" s="5"/>
      <c r="E271" s="6" t="s">
        <v>62</v>
      </c>
      <c r="F271" s="5" t="s">
        <v>1246</v>
      </c>
      <c r="G271" s="5" t="s">
        <v>1128</v>
      </c>
      <c r="H271" s="5" t="s">
        <v>1247</v>
      </c>
      <c r="I271" s="7" t="s">
        <v>66</v>
      </c>
      <c r="J271" s="7" t="s">
        <v>67</v>
      </c>
      <c r="K271" s="7" t="s">
        <v>99</v>
      </c>
      <c r="L271" s="8"/>
      <c r="M271" s="8"/>
      <c r="N271" s="7" t="s">
        <v>69</v>
      </c>
      <c r="O271" s="8"/>
      <c r="P271" s="8"/>
      <c r="Q271" s="9"/>
      <c r="R271" s="8"/>
    </row>
    <row r="272" spans="1:18" ht="25.5" x14ac:dyDescent="0.25">
      <c r="A272" s="10" t="s">
        <v>1115</v>
      </c>
      <c r="B272" s="11" t="s">
        <v>1248</v>
      </c>
      <c r="C272" s="10" t="s">
        <v>1249</v>
      </c>
      <c r="D272" s="12"/>
      <c r="E272" s="6" t="s">
        <v>62</v>
      </c>
      <c r="F272" s="12" t="s">
        <v>1250</v>
      </c>
      <c r="G272" s="12" t="s">
        <v>325</v>
      </c>
      <c r="H272" s="12" t="s">
        <v>1251</v>
      </c>
      <c r="I272" s="13" t="s">
        <v>66</v>
      </c>
      <c r="J272" s="13" t="s">
        <v>67</v>
      </c>
      <c r="K272" s="13" t="s">
        <v>99</v>
      </c>
      <c r="L272" s="14"/>
      <c r="M272" s="14"/>
      <c r="N272" s="13" t="s">
        <v>69</v>
      </c>
      <c r="O272" s="14"/>
      <c r="P272" s="14"/>
      <c r="Q272" s="15"/>
      <c r="R272" s="14"/>
    </row>
    <row r="273" spans="1:18" ht="25.5" x14ac:dyDescent="0.25">
      <c r="A273" s="3" t="s">
        <v>1115</v>
      </c>
      <c r="B273" s="4" t="s">
        <v>1252</v>
      </c>
      <c r="C273" s="3" t="s">
        <v>1253</v>
      </c>
      <c r="D273" s="5"/>
      <c r="E273" s="6" t="s">
        <v>62</v>
      </c>
      <c r="F273" s="5" t="s">
        <v>413</v>
      </c>
      <c r="G273" s="5" t="s">
        <v>414</v>
      </c>
      <c r="H273" s="5" t="s">
        <v>415</v>
      </c>
      <c r="I273" s="7" t="s">
        <v>66</v>
      </c>
      <c r="J273" s="7" t="s">
        <v>67</v>
      </c>
      <c r="K273" s="7" t="s">
        <v>68</v>
      </c>
      <c r="L273" s="8"/>
      <c r="M273" s="8"/>
      <c r="N273" s="7" t="s">
        <v>69</v>
      </c>
      <c r="O273" s="8"/>
      <c r="P273" s="8"/>
      <c r="Q273" s="9"/>
      <c r="R273" s="8"/>
    </row>
    <row r="274" spans="1:18" ht="25.5" x14ac:dyDescent="0.25">
      <c r="A274" s="10" t="s">
        <v>1115</v>
      </c>
      <c r="B274" s="11" t="s">
        <v>1254</v>
      </c>
      <c r="C274" s="10" t="s">
        <v>1255</v>
      </c>
      <c r="D274" s="12"/>
      <c r="E274" s="6" t="s">
        <v>108</v>
      </c>
      <c r="F274" s="12" t="s">
        <v>1256</v>
      </c>
      <c r="G274" s="12" t="s">
        <v>1128</v>
      </c>
      <c r="H274" s="12" t="s">
        <v>1257</v>
      </c>
      <c r="I274" s="13" t="s">
        <v>66</v>
      </c>
      <c r="J274" s="13" t="s">
        <v>67</v>
      </c>
      <c r="K274" s="13" t="s">
        <v>99</v>
      </c>
      <c r="L274" s="14"/>
      <c r="M274" s="14"/>
      <c r="N274" s="13" t="s">
        <v>69</v>
      </c>
      <c r="O274" s="14"/>
      <c r="P274" s="14"/>
      <c r="Q274" s="15"/>
      <c r="R274" s="14"/>
    </row>
    <row r="275" spans="1:18" ht="25.5" x14ac:dyDescent="0.25">
      <c r="A275" s="3" t="s">
        <v>1115</v>
      </c>
      <c r="B275" s="4" t="s">
        <v>1258</v>
      </c>
      <c r="C275" s="3" t="s">
        <v>1259</v>
      </c>
      <c r="D275" s="5"/>
      <c r="E275" s="6" t="s">
        <v>62</v>
      </c>
      <c r="F275" s="5" t="s">
        <v>1260</v>
      </c>
      <c r="G275" s="5" t="s">
        <v>1261</v>
      </c>
      <c r="H275" s="5" t="s">
        <v>1262</v>
      </c>
      <c r="I275" s="7" t="s">
        <v>66</v>
      </c>
      <c r="J275" s="7" t="s">
        <v>67</v>
      </c>
      <c r="K275" s="7" t="s">
        <v>99</v>
      </c>
      <c r="L275" s="8"/>
      <c r="M275" s="8"/>
      <c r="N275" s="7" t="s">
        <v>69</v>
      </c>
      <c r="O275" s="8"/>
      <c r="P275" s="8"/>
      <c r="Q275" s="9"/>
      <c r="R275" s="8"/>
    </row>
    <row r="276" spans="1:18" ht="25.5" x14ac:dyDescent="0.25">
      <c r="A276" s="10" t="s">
        <v>1115</v>
      </c>
      <c r="B276" s="11" t="s">
        <v>1263</v>
      </c>
      <c r="C276" s="10" t="s">
        <v>1264</v>
      </c>
      <c r="D276" s="12"/>
      <c r="E276" s="6" t="s">
        <v>62</v>
      </c>
      <c r="F276" s="12" t="s">
        <v>1265</v>
      </c>
      <c r="G276" s="12" t="s">
        <v>1216</v>
      </c>
      <c r="H276" s="12" t="s">
        <v>1266</v>
      </c>
      <c r="I276" s="13" t="s">
        <v>66</v>
      </c>
      <c r="J276" s="13" t="s">
        <v>67</v>
      </c>
      <c r="K276" s="13" t="s">
        <v>99</v>
      </c>
      <c r="L276" s="14"/>
      <c r="M276" s="14"/>
      <c r="N276" s="13" t="s">
        <v>69</v>
      </c>
      <c r="O276" s="14"/>
      <c r="P276" s="14"/>
      <c r="Q276" s="15"/>
      <c r="R276" s="14"/>
    </row>
    <row r="277" spans="1:18" ht="25.5" x14ac:dyDescent="0.25">
      <c r="A277" s="3" t="s">
        <v>1115</v>
      </c>
      <c r="B277" s="4" t="s">
        <v>1267</v>
      </c>
      <c r="C277" s="3" t="s">
        <v>1268</v>
      </c>
      <c r="D277" s="5"/>
      <c r="E277" s="6" t="s">
        <v>108</v>
      </c>
      <c r="F277" s="5" t="s">
        <v>1269</v>
      </c>
      <c r="G277" s="5" t="s">
        <v>1270</v>
      </c>
      <c r="H277" s="5" t="s">
        <v>1271</v>
      </c>
      <c r="I277" s="7" t="s">
        <v>66</v>
      </c>
      <c r="J277" s="7" t="s">
        <v>67</v>
      </c>
      <c r="K277" s="7" t="s">
        <v>68</v>
      </c>
      <c r="L277" s="8"/>
      <c r="M277" s="8"/>
      <c r="N277" s="7" t="s">
        <v>69</v>
      </c>
      <c r="O277" s="8"/>
      <c r="P277" s="8"/>
      <c r="Q277" s="9"/>
      <c r="R277" s="8"/>
    </row>
    <row r="278" spans="1:18" ht="25.5" x14ac:dyDescent="0.25">
      <c r="A278" s="10" t="s">
        <v>1115</v>
      </c>
      <c r="B278" s="11" t="s">
        <v>1272</v>
      </c>
      <c r="C278" s="10" t="s">
        <v>1273</v>
      </c>
      <c r="D278" s="12"/>
      <c r="E278" s="6" t="s">
        <v>62</v>
      </c>
      <c r="F278" s="12" t="s">
        <v>1274</v>
      </c>
      <c r="G278" s="12" t="s">
        <v>1128</v>
      </c>
      <c r="H278" s="12" t="s">
        <v>1275</v>
      </c>
      <c r="I278" s="13" t="s">
        <v>66</v>
      </c>
      <c r="J278" s="13" t="s">
        <v>67</v>
      </c>
      <c r="K278" s="13" t="s">
        <v>99</v>
      </c>
      <c r="L278" s="14"/>
      <c r="M278" s="14"/>
      <c r="N278" s="13" t="s">
        <v>69</v>
      </c>
      <c r="O278" s="14"/>
      <c r="P278" s="14"/>
      <c r="Q278" s="15"/>
      <c r="R278" s="14"/>
    </row>
    <row r="279" spans="1:18" ht="25.5" x14ac:dyDescent="0.25">
      <c r="A279" s="3" t="s">
        <v>1115</v>
      </c>
      <c r="B279" s="4" t="s">
        <v>1276</v>
      </c>
      <c r="C279" s="3" t="s">
        <v>1277</v>
      </c>
      <c r="D279" s="5"/>
      <c r="E279" s="6" t="s">
        <v>62</v>
      </c>
      <c r="F279" s="5" t="s">
        <v>1278</v>
      </c>
      <c r="G279" s="5" t="s">
        <v>1128</v>
      </c>
      <c r="H279" s="5" t="s">
        <v>1279</v>
      </c>
      <c r="I279" s="7" t="s">
        <v>66</v>
      </c>
      <c r="J279" s="7" t="s">
        <v>67</v>
      </c>
      <c r="K279" s="7" t="s">
        <v>99</v>
      </c>
      <c r="L279" s="8"/>
      <c r="M279" s="8"/>
      <c r="N279" s="7" t="s">
        <v>69</v>
      </c>
      <c r="O279" s="8"/>
      <c r="P279" s="8"/>
      <c r="Q279" s="9"/>
      <c r="R279" s="8"/>
    </row>
    <row r="280" spans="1:18" ht="25.5" x14ac:dyDescent="0.25">
      <c r="A280" s="10" t="s">
        <v>1115</v>
      </c>
      <c r="B280" s="11" t="s">
        <v>1280</v>
      </c>
      <c r="C280" s="10" t="s">
        <v>1281</v>
      </c>
      <c r="D280" s="12"/>
      <c r="E280" s="6" t="s">
        <v>62</v>
      </c>
      <c r="F280" s="12" t="s">
        <v>1282</v>
      </c>
      <c r="G280" s="12" t="s">
        <v>325</v>
      </c>
      <c r="H280" s="12" t="s">
        <v>1283</v>
      </c>
      <c r="I280" s="13" t="s">
        <v>66</v>
      </c>
      <c r="J280" s="13" t="s">
        <v>67</v>
      </c>
      <c r="K280" s="13" t="s">
        <v>99</v>
      </c>
      <c r="L280" s="14"/>
      <c r="M280" s="14"/>
      <c r="N280" s="13" t="s">
        <v>69</v>
      </c>
      <c r="O280" s="14"/>
      <c r="P280" s="14"/>
      <c r="Q280" s="15"/>
      <c r="R280" s="14"/>
    </row>
    <row r="281" spans="1:18" ht="25.5" x14ac:dyDescent="0.25">
      <c r="A281" s="3" t="s">
        <v>1115</v>
      </c>
      <c r="B281" s="4" t="s">
        <v>1284</v>
      </c>
      <c r="C281" s="3" t="s">
        <v>1285</v>
      </c>
      <c r="D281" s="5"/>
      <c r="E281" s="6" t="s">
        <v>62</v>
      </c>
      <c r="F281" s="5" t="s">
        <v>1286</v>
      </c>
      <c r="G281" s="5" t="s">
        <v>1261</v>
      </c>
      <c r="H281" s="5" t="s">
        <v>1287</v>
      </c>
      <c r="I281" s="7" t="s">
        <v>66</v>
      </c>
      <c r="J281" s="7" t="s">
        <v>67</v>
      </c>
      <c r="K281" s="7" t="s">
        <v>105</v>
      </c>
      <c r="L281" s="8"/>
      <c r="M281" s="8"/>
      <c r="N281" s="7" t="s">
        <v>69</v>
      </c>
      <c r="O281" s="8"/>
      <c r="P281" s="8"/>
      <c r="Q281" s="9"/>
      <c r="R281" s="8"/>
    </row>
    <row r="282" spans="1:18" ht="25.5" x14ac:dyDescent="0.25">
      <c r="A282" s="10" t="s">
        <v>1115</v>
      </c>
      <c r="B282" s="11" t="s">
        <v>1288</v>
      </c>
      <c r="C282" s="10" t="s">
        <v>1289</v>
      </c>
      <c r="D282" s="12"/>
      <c r="E282" s="6" t="s">
        <v>62</v>
      </c>
      <c r="F282" s="12" t="s">
        <v>1290</v>
      </c>
      <c r="G282" s="12" t="s">
        <v>1291</v>
      </c>
      <c r="H282" s="12" t="s">
        <v>1292</v>
      </c>
      <c r="I282" s="13" t="s">
        <v>66</v>
      </c>
      <c r="J282" s="13" t="s">
        <v>67</v>
      </c>
      <c r="K282" s="13" t="s">
        <v>99</v>
      </c>
      <c r="L282" s="14"/>
      <c r="M282" s="14"/>
      <c r="N282" s="13" t="s">
        <v>69</v>
      </c>
      <c r="O282" s="14"/>
      <c r="P282" s="14"/>
      <c r="Q282" s="15"/>
      <c r="R282" s="14"/>
    </row>
    <row r="283" spans="1:18" ht="25.5" x14ac:dyDescent="0.25">
      <c r="A283" s="3" t="s">
        <v>1115</v>
      </c>
      <c r="B283" s="4" t="s">
        <v>1293</v>
      </c>
      <c r="C283" s="3" t="s">
        <v>1294</v>
      </c>
      <c r="D283" s="5"/>
      <c r="E283" s="6" t="s">
        <v>62</v>
      </c>
      <c r="F283" s="5" t="s">
        <v>1295</v>
      </c>
      <c r="G283" s="5" t="s">
        <v>103</v>
      </c>
      <c r="H283" s="5" t="s">
        <v>1296</v>
      </c>
      <c r="I283" s="7" t="s">
        <v>66</v>
      </c>
      <c r="J283" s="7" t="s">
        <v>67</v>
      </c>
      <c r="K283" s="7" t="s">
        <v>99</v>
      </c>
      <c r="L283" s="8"/>
      <c r="M283" s="8"/>
      <c r="N283" s="7" t="s">
        <v>69</v>
      </c>
      <c r="O283" s="8"/>
      <c r="P283" s="8"/>
      <c r="Q283" s="9"/>
      <c r="R283" s="8"/>
    </row>
    <row r="284" spans="1:18" ht="25.5" x14ac:dyDescent="0.25">
      <c r="A284" s="10" t="s">
        <v>1115</v>
      </c>
      <c r="B284" s="11" t="s">
        <v>1297</v>
      </c>
      <c r="C284" s="10" t="s">
        <v>1298</v>
      </c>
      <c r="D284" s="12"/>
      <c r="E284" s="6" t="s">
        <v>62</v>
      </c>
      <c r="F284" s="12" t="s">
        <v>1299</v>
      </c>
      <c r="G284" s="12" t="s">
        <v>1261</v>
      </c>
      <c r="H284" s="12" t="s">
        <v>1300</v>
      </c>
      <c r="I284" s="13" t="s">
        <v>66</v>
      </c>
      <c r="J284" s="13" t="s">
        <v>67</v>
      </c>
      <c r="K284" s="13" t="s">
        <v>99</v>
      </c>
      <c r="L284" s="14"/>
      <c r="M284" s="14"/>
      <c r="N284" s="13" t="s">
        <v>69</v>
      </c>
      <c r="O284" s="14"/>
      <c r="P284" s="14"/>
      <c r="Q284" s="15"/>
      <c r="R284" s="14"/>
    </row>
    <row r="285" spans="1:18" ht="25.5" x14ac:dyDescent="0.25">
      <c r="A285" s="3" t="s">
        <v>1115</v>
      </c>
      <c r="B285" s="4" t="s">
        <v>1301</v>
      </c>
      <c r="C285" s="3" t="s">
        <v>1302</v>
      </c>
      <c r="D285" s="5"/>
      <c r="E285" s="6" t="s">
        <v>62</v>
      </c>
      <c r="F285" s="5" t="s">
        <v>1303</v>
      </c>
      <c r="G285" s="5" t="s">
        <v>1128</v>
      </c>
      <c r="H285" s="5" t="s">
        <v>1304</v>
      </c>
      <c r="I285" s="7" t="s">
        <v>66</v>
      </c>
      <c r="J285" s="7" t="s">
        <v>67</v>
      </c>
      <c r="K285" s="7" t="s">
        <v>99</v>
      </c>
      <c r="L285" s="8"/>
      <c r="M285" s="8"/>
      <c r="N285" s="7" t="s">
        <v>69</v>
      </c>
      <c r="O285" s="8"/>
      <c r="P285" s="8"/>
      <c r="Q285" s="9"/>
      <c r="R285" s="8"/>
    </row>
    <row r="286" spans="1:18" ht="25.5" x14ac:dyDescent="0.25">
      <c r="A286" s="10" t="s">
        <v>1115</v>
      </c>
      <c r="B286" s="11" t="s">
        <v>1305</v>
      </c>
      <c r="C286" s="10" t="s">
        <v>1306</v>
      </c>
      <c r="D286" s="12"/>
      <c r="E286" s="6" t="s">
        <v>62</v>
      </c>
      <c r="F286" s="12" t="s">
        <v>1307</v>
      </c>
      <c r="G286" s="12" t="s">
        <v>83</v>
      </c>
      <c r="H286" s="12" t="s">
        <v>1308</v>
      </c>
      <c r="I286" s="13" t="s">
        <v>66</v>
      </c>
      <c r="J286" s="13" t="s">
        <v>67</v>
      </c>
      <c r="K286" s="13" t="s">
        <v>99</v>
      </c>
      <c r="L286" s="14"/>
      <c r="M286" s="14"/>
      <c r="N286" s="13" t="s">
        <v>69</v>
      </c>
      <c r="O286" s="14"/>
      <c r="P286" s="14"/>
      <c r="Q286" s="15"/>
      <c r="R286" s="14"/>
    </row>
    <row r="287" spans="1:18" ht="25.5" x14ac:dyDescent="0.25">
      <c r="A287" s="3" t="s">
        <v>1115</v>
      </c>
      <c r="B287" s="4" t="s">
        <v>1309</v>
      </c>
      <c r="C287" s="3" t="s">
        <v>1310</v>
      </c>
      <c r="D287" s="5"/>
      <c r="E287" s="6" t="s">
        <v>62</v>
      </c>
      <c r="F287" s="5" t="s">
        <v>1311</v>
      </c>
      <c r="G287" s="5" t="s">
        <v>441</v>
      </c>
      <c r="H287" s="5" t="s">
        <v>1312</v>
      </c>
      <c r="I287" s="7" t="s">
        <v>66</v>
      </c>
      <c r="J287" s="7" t="s">
        <v>67</v>
      </c>
      <c r="K287" s="7" t="s">
        <v>99</v>
      </c>
      <c r="L287" s="8"/>
      <c r="M287" s="8"/>
      <c r="N287" s="7" t="s">
        <v>69</v>
      </c>
      <c r="O287" s="8"/>
      <c r="P287" s="8"/>
      <c r="Q287" s="9"/>
      <c r="R287" s="8"/>
    </row>
    <row r="288" spans="1:18" ht="25.5" x14ac:dyDescent="0.25">
      <c r="A288" s="10" t="s">
        <v>1115</v>
      </c>
      <c r="B288" s="11" t="s">
        <v>1313</v>
      </c>
      <c r="C288" s="10" t="s">
        <v>1314</v>
      </c>
      <c r="D288" s="12"/>
      <c r="E288" s="6" t="s">
        <v>62</v>
      </c>
      <c r="F288" s="12" t="s">
        <v>1315</v>
      </c>
      <c r="G288" s="12" t="s">
        <v>1128</v>
      </c>
      <c r="H288" s="12" t="s">
        <v>1316</v>
      </c>
      <c r="I288" s="13" t="s">
        <v>66</v>
      </c>
      <c r="J288" s="13" t="s">
        <v>67</v>
      </c>
      <c r="K288" s="13" t="s">
        <v>99</v>
      </c>
      <c r="L288" s="14"/>
      <c r="M288" s="14"/>
      <c r="N288" s="13" t="s">
        <v>69</v>
      </c>
      <c r="O288" s="14"/>
      <c r="P288" s="14"/>
      <c r="Q288" s="15"/>
      <c r="R288" s="14"/>
    </row>
    <row r="289" spans="1:18" ht="25.5" x14ac:dyDescent="0.25">
      <c r="A289" s="3" t="s">
        <v>1115</v>
      </c>
      <c r="B289" s="4" t="s">
        <v>1317</v>
      </c>
      <c r="C289" s="3" t="s">
        <v>1318</v>
      </c>
      <c r="D289" s="5"/>
      <c r="E289" s="6" t="s">
        <v>62</v>
      </c>
      <c r="F289" s="5" t="s">
        <v>1319</v>
      </c>
      <c r="G289" s="5" t="s">
        <v>1128</v>
      </c>
      <c r="H289" s="5" t="s">
        <v>1320</v>
      </c>
      <c r="I289" s="7" t="s">
        <v>66</v>
      </c>
      <c r="J289" s="7" t="s">
        <v>67</v>
      </c>
      <c r="K289" s="7" t="s">
        <v>99</v>
      </c>
      <c r="L289" s="8"/>
      <c r="M289" s="8"/>
      <c r="N289" s="7" t="s">
        <v>69</v>
      </c>
      <c r="O289" s="8"/>
      <c r="P289" s="8"/>
      <c r="Q289" s="9"/>
      <c r="R289" s="8"/>
    </row>
    <row r="290" spans="1:18" ht="25.5" x14ac:dyDescent="0.25">
      <c r="A290" s="10" t="s">
        <v>1115</v>
      </c>
      <c r="B290" s="11" t="s">
        <v>1321</v>
      </c>
      <c r="C290" s="10" t="s">
        <v>1322</v>
      </c>
      <c r="D290" s="12"/>
      <c r="E290" s="6" t="s">
        <v>62</v>
      </c>
      <c r="F290" s="12" t="s">
        <v>1323</v>
      </c>
      <c r="G290" s="12" t="s">
        <v>1128</v>
      </c>
      <c r="H290" s="12" t="s">
        <v>1324</v>
      </c>
      <c r="I290" s="13" t="s">
        <v>66</v>
      </c>
      <c r="J290" s="13" t="s">
        <v>67</v>
      </c>
      <c r="K290" s="13" t="s">
        <v>99</v>
      </c>
      <c r="L290" s="14"/>
      <c r="M290" s="14"/>
      <c r="N290" s="13" t="s">
        <v>69</v>
      </c>
      <c r="O290" s="14"/>
      <c r="P290" s="14"/>
      <c r="Q290" s="15"/>
      <c r="R290" s="14"/>
    </row>
    <row r="291" spans="1:18" ht="25.5" x14ac:dyDescent="0.25">
      <c r="A291" s="3" t="s">
        <v>1115</v>
      </c>
      <c r="B291" s="4" t="s">
        <v>1325</v>
      </c>
      <c r="C291" s="3" t="s">
        <v>1326</v>
      </c>
      <c r="D291" s="5"/>
      <c r="E291" s="6" t="s">
        <v>62</v>
      </c>
      <c r="F291" s="5" t="s">
        <v>1327</v>
      </c>
      <c r="G291" s="5" t="s">
        <v>1128</v>
      </c>
      <c r="H291" s="5" t="s">
        <v>1328</v>
      </c>
      <c r="I291" s="7" t="s">
        <v>66</v>
      </c>
      <c r="J291" s="7" t="s">
        <v>67</v>
      </c>
      <c r="K291" s="7" t="s">
        <v>99</v>
      </c>
      <c r="L291" s="8"/>
      <c r="M291" s="8"/>
      <c r="N291" s="7" t="s">
        <v>69</v>
      </c>
      <c r="O291" s="8"/>
      <c r="P291" s="8"/>
      <c r="Q291" s="9"/>
      <c r="R291" s="8"/>
    </row>
    <row r="292" spans="1:18" ht="25.5" x14ac:dyDescent="0.25">
      <c r="A292" s="10" t="s">
        <v>1329</v>
      </c>
      <c r="B292" s="11" t="s">
        <v>1330</v>
      </c>
      <c r="C292" s="10" t="s">
        <v>61</v>
      </c>
      <c r="D292" s="12"/>
      <c r="E292" s="6" t="s">
        <v>62</v>
      </c>
      <c r="F292" s="12" t="s">
        <v>1331</v>
      </c>
      <c r="G292" s="12" t="s">
        <v>1332</v>
      </c>
      <c r="H292" s="12" t="s">
        <v>1333</v>
      </c>
      <c r="I292" s="13" t="s">
        <v>66</v>
      </c>
      <c r="J292" s="13" t="s">
        <v>67</v>
      </c>
      <c r="K292" s="13" t="s">
        <v>99</v>
      </c>
      <c r="L292" s="14"/>
      <c r="M292" s="14"/>
      <c r="N292" s="13" t="s">
        <v>69</v>
      </c>
      <c r="O292" s="14"/>
      <c r="P292" s="14"/>
      <c r="Q292" s="15"/>
      <c r="R292" s="14"/>
    </row>
    <row r="293" spans="1:18" ht="25.5" x14ac:dyDescent="0.25">
      <c r="A293" s="3" t="s">
        <v>1329</v>
      </c>
      <c r="B293" s="4" t="s">
        <v>1334</v>
      </c>
      <c r="C293" s="3" t="s">
        <v>1335</v>
      </c>
      <c r="D293" s="5"/>
      <c r="E293" s="6" t="s">
        <v>62</v>
      </c>
      <c r="F293" s="5" t="s">
        <v>1336</v>
      </c>
      <c r="G293" s="5" t="s">
        <v>1337</v>
      </c>
      <c r="H293" s="5" t="s">
        <v>1338</v>
      </c>
      <c r="I293" s="7" t="s">
        <v>66</v>
      </c>
      <c r="J293" s="7" t="s">
        <v>67</v>
      </c>
      <c r="K293" s="7" t="s">
        <v>68</v>
      </c>
      <c r="L293" s="8"/>
      <c r="M293" s="8"/>
      <c r="N293" s="7" t="s">
        <v>69</v>
      </c>
      <c r="O293" s="8"/>
      <c r="P293" s="8"/>
      <c r="Q293" s="9"/>
      <c r="R293" s="8"/>
    </row>
    <row r="294" spans="1:18" ht="25.5" x14ac:dyDescent="0.25">
      <c r="A294" s="10" t="s">
        <v>1329</v>
      </c>
      <c r="B294" s="11" t="s">
        <v>1339</v>
      </c>
      <c r="C294" s="10" t="s">
        <v>1340</v>
      </c>
      <c r="D294" s="12"/>
      <c r="E294" s="6" t="s">
        <v>62</v>
      </c>
      <c r="F294" s="12" t="s">
        <v>1341</v>
      </c>
      <c r="G294" s="12" t="s">
        <v>1342</v>
      </c>
      <c r="H294" s="12" t="s">
        <v>1343</v>
      </c>
      <c r="I294" s="13" t="s">
        <v>66</v>
      </c>
      <c r="J294" s="13" t="s">
        <v>67</v>
      </c>
      <c r="K294" s="13" t="s">
        <v>68</v>
      </c>
      <c r="L294" s="14"/>
      <c r="M294" s="14"/>
      <c r="N294" s="13" t="s">
        <v>69</v>
      </c>
      <c r="O294" s="14"/>
      <c r="P294" s="14"/>
      <c r="Q294" s="15"/>
      <c r="R294" s="14"/>
    </row>
    <row r="295" spans="1:18" ht="25.5" x14ac:dyDescent="0.25">
      <c r="A295" s="3" t="s">
        <v>1329</v>
      </c>
      <c r="B295" s="4" t="s">
        <v>1344</v>
      </c>
      <c r="C295" s="3" t="s">
        <v>1345</v>
      </c>
      <c r="D295" s="5"/>
      <c r="E295" s="6" t="s">
        <v>62</v>
      </c>
      <c r="F295" s="5" t="s">
        <v>1346</v>
      </c>
      <c r="G295" s="5" t="s">
        <v>1347</v>
      </c>
      <c r="H295" s="5" t="s">
        <v>1348</v>
      </c>
      <c r="I295" s="7" t="s">
        <v>66</v>
      </c>
      <c r="J295" s="7" t="s">
        <v>67</v>
      </c>
      <c r="K295" s="7" t="s">
        <v>68</v>
      </c>
      <c r="L295" s="8"/>
      <c r="M295" s="8"/>
      <c r="N295" s="7" t="s">
        <v>69</v>
      </c>
      <c r="O295" s="8"/>
      <c r="P295" s="8"/>
      <c r="Q295" s="9"/>
      <c r="R295" s="8"/>
    </row>
    <row r="296" spans="1:18" ht="25.5" x14ac:dyDescent="0.25">
      <c r="A296" s="10" t="s">
        <v>1329</v>
      </c>
      <c r="B296" s="11" t="s">
        <v>1349</v>
      </c>
      <c r="C296" s="10" t="s">
        <v>1350</v>
      </c>
      <c r="D296" s="12"/>
      <c r="E296" s="6" t="s">
        <v>62</v>
      </c>
      <c r="F296" s="12" t="s">
        <v>1351</v>
      </c>
      <c r="G296" s="12" t="s">
        <v>1352</v>
      </c>
      <c r="H296" s="12" t="s">
        <v>1353</v>
      </c>
      <c r="I296" s="13" t="s">
        <v>66</v>
      </c>
      <c r="J296" s="13" t="s">
        <v>67</v>
      </c>
      <c r="K296" s="13" t="s">
        <v>99</v>
      </c>
      <c r="L296" s="14"/>
      <c r="M296" s="14"/>
      <c r="N296" s="13" t="s">
        <v>69</v>
      </c>
      <c r="O296" s="14"/>
      <c r="P296" s="14"/>
      <c r="Q296" s="15"/>
      <c r="R296" s="14"/>
    </row>
    <row r="297" spans="1:18" ht="25.5" x14ac:dyDescent="0.25">
      <c r="A297" s="3" t="s">
        <v>1329</v>
      </c>
      <c r="B297" s="4" t="s">
        <v>1354</v>
      </c>
      <c r="C297" s="3" t="s">
        <v>1355</v>
      </c>
      <c r="D297" s="5"/>
      <c r="E297" s="6" t="s">
        <v>62</v>
      </c>
      <c r="F297" s="5" t="s">
        <v>1356</v>
      </c>
      <c r="G297" s="5" t="s">
        <v>1332</v>
      </c>
      <c r="H297" s="5" t="s">
        <v>1357</v>
      </c>
      <c r="I297" s="7" t="s">
        <v>66</v>
      </c>
      <c r="J297" s="7" t="s">
        <v>67</v>
      </c>
      <c r="K297" s="7" t="s">
        <v>99</v>
      </c>
      <c r="L297" s="8"/>
      <c r="M297" s="8"/>
      <c r="N297" s="7" t="s">
        <v>69</v>
      </c>
      <c r="O297" s="8"/>
      <c r="P297" s="8"/>
      <c r="Q297" s="9"/>
      <c r="R297" s="8"/>
    </row>
    <row r="298" spans="1:18" ht="25.5" x14ac:dyDescent="0.25">
      <c r="A298" s="10" t="s">
        <v>1329</v>
      </c>
      <c r="B298" s="11" t="s">
        <v>1358</v>
      </c>
      <c r="C298" s="10" t="s">
        <v>1359</v>
      </c>
      <c r="D298" s="12"/>
      <c r="E298" s="6" t="s">
        <v>62</v>
      </c>
      <c r="F298" s="12" t="s">
        <v>1360</v>
      </c>
      <c r="G298" s="12" t="s">
        <v>1361</v>
      </c>
      <c r="H298" s="12" t="s">
        <v>1362</v>
      </c>
      <c r="I298" s="13" t="s">
        <v>66</v>
      </c>
      <c r="J298" s="13" t="s">
        <v>67</v>
      </c>
      <c r="K298" s="13" t="s">
        <v>99</v>
      </c>
      <c r="L298" s="14"/>
      <c r="M298" s="14"/>
      <c r="N298" s="13" t="s">
        <v>69</v>
      </c>
      <c r="O298" s="14"/>
      <c r="P298" s="14"/>
      <c r="Q298" s="15"/>
      <c r="R298" s="14"/>
    </row>
    <row r="299" spans="1:18" ht="25.5" x14ac:dyDescent="0.25">
      <c r="A299" s="3" t="s">
        <v>1329</v>
      </c>
      <c r="B299" s="4" t="s">
        <v>1363</v>
      </c>
      <c r="C299" s="3" t="s">
        <v>1364</v>
      </c>
      <c r="D299" s="5"/>
      <c r="E299" s="6" t="s">
        <v>62</v>
      </c>
      <c r="F299" s="5" t="s">
        <v>1365</v>
      </c>
      <c r="G299" s="5" t="s">
        <v>1366</v>
      </c>
      <c r="H299" s="5" t="s">
        <v>1367</v>
      </c>
      <c r="I299" s="7" t="s">
        <v>66</v>
      </c>
      <c r="J299" s="7" t="s">
        <v>67</v>
      </c>
      <c r="K299" s="7" t="s">
        <v>99</v>
      </c>
      <c r="L299" s="8"/>
      <c r="M299" s="8"/>
      <c r="N299" s="7" t="s">
        <v>69</v>
      </c>
      <c r="O299" s="8"/>
      <c r="P299" s="8"/>
      <c r="Q299" s="9"/>
      <c r="R299" s="8"/>
    </row>
    <row r="300" spans="1:18" ht="25.5" x14ac:dyDescent="0.25">
      <c r="A300" s="10" t="s">
        <v>1329</v>
      </c>
      <c r="B300" s="11" t="s">
        <v>1368</v>
      </c>
      <c r="C300" s="10" t="s">
        <v>1369</v>
      </c>
      <c r="D300" s="12"/>
      <c r="E300" s="6" t="s">
        <v>62</v>
      </c>
      <c r="F300" s="12" t="s">
        <v>1370</v>
      </c>
      <c r="G300" s="12" t="s">
        <v>1038</v>
      </c>
      <c r="H300" s="12" t="s">
        <v>1371</v>
      </c>
      <c r="I300" s="13" t="s">
        <v>66</v>
      </c>
      <c r="J300" s="13" t="s">
        <v>67</v>
      </c>
      <c r="K300" s="13" t="s">
        <v>99</v>
      </c>
      <c r="L300" s="14"/>
      <c r="M300" s="14"/>
      <c r="N300" s="13" t="s">
        <v>69</v>
      </c>
      <c r="O300" s="14"/>
      <c r="P300" s="14"/>
      <c r="Q300" s="15"/>
      <c r="R300" s="14"/>
    </row>
    <row r="301" spans="1:18" ht="25.5" x14ac:dyDescent="0.25">
      <c r="A301" s="3" t="s">
        <v>1329</v>
      </c>
      <c r="B301" s="4" t="s">
        <v>1372</v>
      </c>
      <c r="C301" s="3" t="s">
        <v>1373</v>
      </c>
      <c r="D301" s="5"/>
      <c r="E301" s="6" t="s">
        <v>62</v>
      </c>
      <c r="F301" s="5" t="s">
        <v>1374</v>
      </c>
      <c r="G301" s="5" t="s">
        <v>1375</v>
      </c>
      <c r="H301" s="5" t="s">
        <v>1376</v>
      </c>
      <c r="I301" s="7" t="s">
        <v>66</v>
      </c>
      <c r="J301" s="7" t="s">
        <v>67</v>
      </c>
      <c r="K301" s="7" t="s">
        <v>68</v>
      </c>
      <c r="L301" s="8"/>
      <c r="M301" s="8"/>
      <c r="N301" s="7" t="s">
        <v>69</v>
      </c>
      <c r="O301" s="8"/>
      <c r="P301" s="8"/>
      <c r="Q301" s="9"/>
      <c r="R301" s="8"/>
    </row>
    <row r="302" spans="1:18" ht="25.5" x14ac:dyDescent="0.25">
      <c r="A302" s="10" t="s">
        <v>1329</v>
      </c>
      <c r="B302" s="11" t="s">
        <v>1377</v>
      </c>
      <c r="C302" s="10" t="s">
        <v>1378</v>
      </c>
      <c r="D302" s="12"/>
      <c r="E302" s="6" t="s">
        <v>62</v>
      </c>
      <c r="F302" s="12" t="s">
        <v>1379</v>
      </c>
      <c r="G302" s="12" t="s">
        <v>1038</v>
      </c>
      <c r="H302" s="12" t="s">
        <v>1380</v>
      </c>
      <c r="I302" s="13" t="s">
        <v>66</v>
      </c>
      <c r="J302" s="13" t="s">
        <v>67</v>
      </c>
      <c r="K302" s="13" t="s">
        <v>99</v>
      </c>
      <c r="L302" s="14"/>
      <c r="M302" s="14"/>
      <c r="N302" s="13" t="s">
        <v>69</v>
      </c>
      <c r="O302" s="14"/>
      <c r="P302" s="14"/>
      <c r="Q302" s="15"/>
      <c r="R302" s="14"/>
    </row>
  </sheetData>
  <autoFilter ref="A2:R2" xr:uid="{00000000-0009-0000-0000-000001000000}"/>
  <mergeCells count="2">
    <mergeCell ref="I1:R1"/>
    <mergeCell ref="A1:H1"/>
  </mergeCells>
  <conditionalFormatting sqref="A3:R302">
    <cfRule type="expression" dxfId="20" priority="16">
      <formula>AND($K3="Critical",$I3="Not Started")</formula>
    </cfRule>
  </conditionalFormatting>
  <conditionalFormatting sqref="I3:I302">
    <cfRule type="cellIs" dxfId="19" priority="6" operator="equal">
      <formula>"Not Started"</formula>
    </cfRule>
    <cfRule type="cellIs" dxfId="18" priority="7" operator="equal">
      <formula>"Planned"</formula>
    </cfRule>
    <cfRule type="cellIs" dxfId="17" priority="8" operator="equal">
      <formula>"Partial"</formula>
    </cfRule>
    <cfRule type="cellIs" dxfId="16" priority="9" operator="equal">
      <formula>"Implemented"</formula>
    </cfRule>
  </conditionalFormatting>
  <conditionalFormatting sqref="J3:J302">
    <cfRule type="cellIs" dxfId="15" priority="10" operator="equal">
      <formula>"Not Tested"</formula>
    </cfRule>
    <cfRule type="cellIs" dxfId="14" priority="11" operator="equal">
      <formula>"Design Effective"</formula>
    </cfRule>
    <cfRule type="cellIs" dxfId="13" priority="12" operator="equal">
      <formula>"Operating Effective"</formula>
    </cfRule>
    <cfRule type="cellIs" dxfId="12" priority="13" operator="equal">
      <formula>"Ineffective"</formula>
    </cfRule>
  </conditionalFormatting>
  <conditionalFormatting sqref="K3:K302">
    <cfRule type="cellIs" dxfId="11" priority="2" operator="equal">
      <formula>"Critical"</formula>
    </cfRule>
    <cfRule type="cellIs" dxfId="10" priority="3" operator="equal">
      <formula>"High"</formula>
    </cfRule>
    <cfRule type="cellIs" dxfId="9" priority="4" operator="equal">
      <formula>"Med"</formula>
    </cfRule>
    <cfRule type="cellIs" dxfId="8" priority="5" operator="equal">
      <formula>"Low"</formula>
    </cfRule>
  </conditionalFormatting>
  <conditionalFormatting sqref="N3:N302">
    <cfRule type="cellIs" dxfId="7" priority="14" operator="equal">
      <formula>"No"</formula>
    </cfRule>
    <cfRule type="cellIs" dxfId="6" priority="15" operator="equal">
      <formula>"Yes"</formula>
    </cfRule>
  </conditionalFormatting>
  <dataValidations count="5">
    <dataValidation type="list" allowBlank="1" showErrorMessage="1" errorTitle="Invalid entry" error="Please choose from the dropdown list." sqref="I3:I302" xr:uid="{00000000-0002-0000-0100-000000000000}">
      <formula1>"Not Started,Planned,Partial,Implemented"</formula1>
      <formula2>0</formula2>
    </dataValidation>
    <dataValidation type="list" allowBlank="1" showErrorMessage="1" errorTitle="Invalid entry" error="Please choose from the dropdown list." sqref="J3:J302" xr:uid="{00000000-0002-0000-0100-000001000000}">
      <formula1>"Not Tested,Design Effective,Operating Effective,Ineffective"</formula1>
      <formula2>0</formula2>
    </dataValidation>
    <dataValidation type="list" allowBlank="1" showErrorMessage="1" errorTitle="Invalid entry" error="Please choose from the dropdown list." sqref="K3:K302" xr:uid="{00000000-0002-0000-0100-000002000000}">
      <formula1>"Low,Med,High,Critical"</formula1>
      <formula2>0</formula2>
    </dataValidation>
    <dataValidation type="list" allowBlank="1" showErrorMessage="1" errorTitle="Invalid entry" error="Please choose from the dropdown list." sqref="N3:N302" xr:uid="{00000000-0002-0000-0100-000003000000}">
      <formula1>"Yes,No"</formula1>
      <formula2>0</formula2>
    </dataValidation>
    <dataValidation type="list" allowBlank="1" showErrorMessage="1" errorTitle="Invalid Selection" error="Please select a valid environment from the list." sqref="E3:E302" xr:uid="{00000000-0002-0000-0100-000004000000}">
      <formula1>"AWS,Azure,On-Prem,Hybrid,All"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6655"/>
  </sheetPr>
  <dimension ref="A1:J302"/>
  <sheetViews>
    <sheetView showGridLines="0" zoomScaleNormal="100" workbookViewId="0">
      <pane ySplit="2" topLeftCell="A3" activePane="bottomLeft" state="frozen"/>
      <selection pane="bottomLeft" sqref="A1:J1"/>
    </sheetView>
  </sheetViews>
  <sheetFormatPr defaultColWidth="8.7109375" defaultRowHeight="15" x14ac:dyDescent="0.25"/>
  <cols>
    <col min="1" max="1" width="12" customWidth="1"/>
    <col min="2" max="2" width="10" customWidth="1"/>
    <col min="3" max="3" width="28" customWidth="1"/>
    <col min="4" max="4" width="32" customWidth="1"/>
    <col min="5" max="5" width="44" customWidth="1"/>
    <col min="6" max="6" width="22" customWidth="1"/>
    <col min="7" max="7" width="16" customWidth="1"/>
    <col min="8" max="8" width="14" customWidth="1"/>
    <col min="9" max="9" width="36" customWidth="1"/>
    <col min="10" max="10" width="40" customWidth="1"/>
  </cols>
  <sheetData>
    <row r="1" spans="1:10" ht="27.75" customHeight="1" x14ac:dyDescent="0.25">
      <c r="A1" s="85" t="s">
        <v>1381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27.75" customHeight="1" x14ac:dyDescent="0.25">
      <c r="A2" s="1" t="s">
        <v>1382</v>
      </c>
      <c r="B2" s="1" t="s">
        <v>42</v>
      </c>
      <c r="C2" s="1" t="s">
        <v>41</v>
      </c>
      <c r="D2" s="1" t="s">
        <v>43</v>
      </c>
      <c r="E2" s="1" t="s">
        <v>48</v>
      </c>
      <c r="F2" s="1" t="s">
        <v>1383</v>
      </c>
      <c r="G2" s="1" t="s">
        <v>1384</v>
      </c>
      <c r="H2" s="1" t="s">
        <v>1385</v>
      </c>
      <c r="I2" s="1" t="s">
        <v>1386</v>
      </c>
      <c r="J2" s="1" t="s">
        <v>1387</v>
      </c>
    </row>
    <row r="3" spans="1:10" ht="15.75" customHeight="1" x14ac:dyDescent="0.25">
      <c r="A3" s="16" t="s">
        <v>1388</v>
      </c>
      <c r="B3" s="16" t="s">
        <v>60</v>
      </c>
      <c r="C3" s="17" t="s">
        <v>59</v>
      </c>
      <c r="D3" s="18" t="s">
        <v>61</v>
      </c>
      <c r="E3" s="18" t="s">
        <v>65</v>
      </c>
      <c r="F3" s="19"/>
      <c r="G3" s="20" t="s">
        <v>1389</v>
      </c>
      <c r="H3" s="20" t="s">
        <v>1390</v>
      </c>
      <c r="I3" s="19"/>
      <c r="J3" s="21" t="s">
        <v>1391</v>
      </c>
    </row>
    <row r="4" spans="1:10" ht="15.75" customHeight="1" x14ac:dyDescent="0.25">
      <c r="A4" s="22" t="s">
        <v>1392</v>
      </c>
      <c r="B4" s="22" t="s">
        <v>70</v>
      </c>
      <c r="C4" s="23" t="s">
        <v>59</v>
      </c>
      <c r="D4" s="24" t="s">
        <v>71</v>
      </c>
      <c r="E4" s="24" t="s">
        <v>74</v>
      </c>
      <c r="F4" s="19"/>
      <c r="G4" s="20" t="s">
        <v>1389</v>
      </c>
      <c r="H4" s="20" t="s">
        <v>1390</v>
      </c>
      <c r="I4" s="19"/>
      <c r="J4" s="21" t="s">
        <v>1391</v>
      </c>
    </row>
    <row r="5" spans="1:10" ht="15.75" customHeight="1" x14ac:dyDescent="0.25">
      <c r="A5" s="16" t="s">
        <v>1393</v>
      </c>
      <c r="B5" s="16" t="s">
        <v>75</v>
      </c>
      <c r="C5" s="17" t="s">
        <v>59</v>
      </c>
      <c r="D5" s="18" t="s">
        <v>76</v>
      </c>
      <c r="E5" s="18" t="s">
        <v>79</v>
      </c>
      <c r="F5" s="19"/>
      <c r="G5" s="20" t="s">
        <v>1389</v>
      </c>
      <c r="H5" s="20" t="s">
        <v>1390</v>
      </c>
      <c r="I5" s="19"/>
      <c r="J5" s="21" t="s">
        <v>1391</v>
      </c>
    </row>
    <row r="6" spans="1:10" ht="15.75" customHeight="1" x14ac:dyDescent="0.25">
      <c r="A6" s="22" t="s">
        <v>1394</v>
      </c>
      <c r="B6" s="22" t="s">
        <v>80</v>
      </c>
      <c r="C6" s="23" t="s">
        <v>59</v>
      </c>
      <c r="D6" s="24" t="s">
        <v>81</v>
      </c>
      <c r="E6" s="24" t="s">
        <v>84</v>
      </c>
      <c r="F6" s="19"/>
      <c r="G6" s="20" t="s">
        <v>1389</v>
      </c>
      <c r="H6" s="20" t="s">
        <v>1390</v>
      </c>
      <c r="I6" s="19"/>
      <c r="J6" s="21" t="s">
        <v>1391</v>
      </c>
    </row>
    <row r="7" spans="1:10" ht="15.75" customHeight="1" x14ac:dyDescent="0.25">
      <c r="A7" s="16" t="s">
        <v>1395</v>
      </c>
      <c r="B7" s="16" t="s">
        <v>85</v>
      </c>
      <c r="C7" s="17" t="s">
        <v>59</v>
      </c>
      <c r="D7" s="18" t="s">
        <v>86</v>
      </c>
      <c r="E7" s="18" t="s">
        <v>89</v>
      </c>
      <c r="F7" s="19"/>
      <c r="G7" s="20" t="s">
        <v>1389</v>
      </c>
      <c r="H7" s="20" t="s">
        <v>1390</v>
      </c>
      <c r="I7" s="19"/>
      <c r="J7" s="21" t="s">
        <v>1391</v>
      </c>
    </row>
    <row r="8" spans="1:10" ht="15.75" customHeight="1" x14ac:dyDescent="0.25">
      <c r="A8" s="22" t="s">
        <v>1396</v>
      </c>
      <c r="B8" s="22" t="s">
        <v>90</v>
      </c>
      <c r="C8" s="23" t="s">
        <v>59</v>
      </c>
      <c r="D8" s="24" t="s">
        <v>91</v>
      </c>
      <c r="E8" s="24" t="s">
        <v>93</v>
      </c>
      <c r="F8" s="19"/>
      <c r="G8" s="20" t="s">
        <v>1389</v>
      </c>
      <c r="H8" s="20" t="s">
        <v>1390</v>
      </c>
      <c r="I8" s="19"/>
      <c r="J8" s="21" t="s">
        <v>1391</v>
      </c>
    </row>
    <row r="9" spans="1:10" ht="15.75" customHeight="1" x14ac:dyDescent="0.25">
      <c r="A9" s="16" t="s">
        <v>1397</v>
      </c>
      <c r="B9" s="16" t="s">
        <v>94</v>
      </c>
      <c r="C9" s="17" t="s">
        <v>59</v>
      </c>
      <c r="D9" s="18" t="s">
        <v>95</v>
      </c>
      <c r="E9" s="18" t="s">
        <v>98</v>
      </c>
      <c r="F9" s="19"/>
      <c r="G9" s="20" t="s">
        <v>1389</v>
      </c>
      <c r="H9" s="20" t="s">
        <v>1390</v>
      </c>
      <c r="I9" s="19"/>
      <c r="J9" s="21" t="s">
        <v>1398</v>
      </c>
    </row>
    <row r="10" spans="1:10" ht="15.75" customHeight="1" x14ac:dyDescent="0.25">
      <c r="A10" s="22" t="s">
        <v>1399</v>
      </c>
      <c r="B10" s="22" t="s">
        <v>100</v>
      </c>
      <c r="C10" s="23" t="s">
        <v>59</v>
      </c>
      <c r="D10" s="24" t="s">
        <v>101</v>
      </c>
      <c r="E10" s="24" t="s">
        <v>104</v>
      </c>
      <c r="F10" s="19"/>
      <c r="G10" s="20" t="s">
        <v>1389</v>
      </c>
      <c r="H10" s="20" t="s">
        <v>1390</v>
      </c>
      <c r="I10" s="19"/>
      <c r="J10" s="21" t="s">
        <v>1400</v>
      </c>
    </row>
    <row r="11" spans="1:10" ht="15.75" customHeight="1" x14ac:dyDescent="0.25">
      <c r="A11" s="16" t="s">
        <v>1401</v>
      </c>
      <c r="B11" s="16" t="s">
        <v>106</v>
      </c>
      <c r="C11" s="17" t="s">
        <v>59</v>
      </c>
      <c r="D11" s="18" t="s">
        <v>107</v>
      </c>
      <c r="E11" s="18" t="s">
        <v>110</v>
      </c>
      <c r="F11" s="19"/>
      <c r="G11" s="20" t="s">
        <v>1389</v>
      </c>
      <c r="H11" s="20" t="s">
        <v>1390</v>
      </c>
      <c r="I11" s="19"/>
      <c r="J11" s="21" t="s">
        <v>1400</v>
      </c>
    </row>
    <row r="12" spans="1:10" ht="15.75" customHeight="1" x14ac:dyDescent="0.25">
      <c r="A12" s="22" t="s">
        <v>1402</v>
      </c>
      <c r="B12" s="22" t="s">
        <v>111</v>
      </c>
      <c r="C12" s="23" t="s">
        <v>59</v>
      </c>
      <c r="D12" s="24" t="s">
        <v>112</v>
      </c>
      <c r="E12" s="24" t="s">
        <v>114</v>
      </c>
      <c r="F12" s="19"/>
      <c r="G12" s="20" t="s">
        <v>1389</v>
      </c>
      <c r="H12" s="20" t="s">
        <v>1390</v>
      </c>
      <c r="I12" s="19"/>
      <c r="J12" s="21" t="s">
        <v>1400</v>
      </c>
    </row>
    <row r="13" spans="1:10" ht="15.75" customHeight="1" x14ac:dyDescent="0.25">
      <c r="A13" s="16" t="s">
        <v>1403</v>
      </c>
      <c r="B13" s="16" t="s">
        <v>115</v>
      </c>
      <c r="C13" s="17" t="s">
        <v>59</v>
      </c>
      <c r="D13" s="18" t="s">
        <v>116</v>
      </c>
      <c r="E13" s="18" t="s">
        <v>119</v>
      </c>
      <c r="F13" s="19"/>
      <c r="G13" s="20" t="s">
        <v>1389</v>
      </c>
      <c r="H13" s="20" t="s">
        <v>1390</v>
      </c>
      <c r="I13" s="19"/>
      <c r="J13" s="21" t="s">
        <v>1398</v>
      </c>
    </row>
    <row r="14" spans="1:10" ht="15.75" customHeight="1" x14ac:dyDescent="0.25">
      <c r="A14" s="22" t="s">
        <v>1404</v>
      </c>
      <c r="B14" s="22" t="s">
        <v>120</v>
      </c>
      <c r="C14" s="23" t="s">
        <v>59</v>
      </c>
      <c r="D14" s="24" t="s">
        <v>121</v>
      </c>
      <c r="E14" s="24" t="s">
        <v>123</v>
      </c>
      <c r="F14" s="19"/>
      <c r="G14" s="20" t="s">
        <v>1389</v>
      </c>
      <c r="H14" s="20" t="s">
        <v>1390</v>
      </c>
      <c r="I14" s="19"/>
      <c r="J14" s="21" t="s">
        <v>1398</v>
      </c>
    </row>
    <row r="15" spans="1:10" ht="15.75" customHeight="1" x14ac:dyDescent="0.25">
      <c r="A15" s="16" t="s">
        <v>1405</v>
      </c>
      <c r="B15" s="16" t="s">
        <v>124</v>
      </c>
      <c r="C15" s="17" t="s">
        <v>59</v>
      </c>
      <c r="D15" s="18" t="s">
        <v>125</v>
      </c>
      <c r="E15" s="18" t="s">
        <v>127</v>
      </c>
      <c r="F15" s="19"/>
      <c r="G15" s="20" t="s">
        <v>1389</v>
      </c>
      <c r="H15" s="20" t="s">
        <v>1390</v>
      </c>
      <c r="I15" s="19"/>
      <c r="J15" s="21" t="s">
        <v>1400</v>
      </c>
    </row>
    <row r="16" spans="1:10" ht="15.75" customHeight="1" x14ac:dyDescent="0.25">
      <c r="A16" s="22" t="s">
        <v>1406</v>
      </c>
      <c r="B16" s="22" t="s">
        <v>128</v>
      </c>
      <c r="C16" s="23" t="s">
        <v>59</v>
      </c>
      <c r="D16" s="24" t="s">
        <v>129</v>
      </c>
      <c r="E16" s="24" t="s">
        <v>131</v>
      </c>
      <c r="F16" s="19"/>
      <c r="G16" s="20" t="s">
        <v>1389</v>
      </c>
      <c r="H16" s="20" t="s">
        <v>1390</v>
      </c>
      <c r="I16" s="19"/>
      <c r="J16" s="21" t="s">
        <v>1400</v>
      </c>
    </row>
    <row r="17" spans="1:10" ht="15.75" customHeight="1" x14ac:dyDescent="0.25">
      <c r="A17" s="16" t="s">
        <v>1407</v>
      </c>
      <c r="B17" s="16" t="s">
        <v>132</v>
      </c>
      <c r="C17" s="17" t="s">
        <v>59</v>
      </c>
      <c r="D17" s="18" t="s">
        <v>133</v>
      </c>
      <c r="E17" s="18" t="s">
        <v>136</v>
      </c>
      <c r="F17" s="19"/>
      <c r="G17" s="20" t="s">
        <v>1389</v>
      </c>
      <c r="H17" s="20" t="s">
        <v>1390</v>
      </c>
      <c r="I17" s="19"/>
      <c r="J17" s="21" t="s">
        <v>1400</v>
      </c>
    </row>
    <row r="18" spans="1:10" ht="15.75" customHeight="1" x14ac:dyDescent="0.25">
      <c r="A18" s="22" t="s">
        <v>1408</v>
      </c>
      <c r="B18" s="22" t="s">
        <v>137</v>
      </c>
      <c r="C18" s="23" t="s">
        <v>59</v>
      </c>
      <c r="D18" s="24" t="s">
        <v>138</v>
      </c>
      <c r="E18" s="24" t="s">
        <v>140</v>
      </c>
      <c r="F18" s="19"/>
      <c r="G18" s="20" t="s">
        <v>1389</v>
      </c>
      <c r="H18" s="20" t="s">
        <v>1390</v>
      </c>
      <c r="I18" s="19"/>
      <c r="J18" s="21" t="s">
        <v>1398</v>
      </c>
    </row>
    <row r="19" spans="1:10" ht="15.75" customHeight="1" x14ac:dyDescent="0.25">
      <c r="A19" s="16" t="s">
        <v>1409</v>
      </c>
      <c r="B19" s="16" t="s">
        <v>141</v>
      </c>
      <c r="C19" s="17" t="s">
        <v>59</v>
      </c>
      <c r="D19" s="18" t="s">
        <v>142</v>
      </c>
      <c r="E19" s="18" t="s">
        <v>145</v>
      </c>
      <c r="F19" s="19"/>
      <c r="G19" s="20" t="s">
        <v>1389</v>
      </c>
      <c r="H19" s="20" t="s">
        <v>1390</v>
      </c>
      <c r="I19" s="19"/>
      <c r="J19" s="21" t="s">
        <v>1391</v>
      </c>
    </row>
    <row r="20" spans="1:10" ht="15.75" customHeight="1" x14ac:dyDescent="0.25">
      <c r="A20" s="22" t="s">
        <v>1410</v>
      </c>
      <c r="B20" s="22" t="s">
        <v>146</v>
      </c>
      <c r="C20" s="23" t="s">
        <v>59</v>
      </c>
      <c r="D20" s="24" t="s">
        <v>147</v>
      </c>
      <c r="E20" s="24" t="s">
        <v>150</v>
      </c>
      <c r="F20" s="19"/>
      <c r="G20" s="20" t="s">
        <v>1389</v>
      </c>
      <c r="H20" s="20" t="s">
        <v>1390</v>
      </c>
      <c r="I20" s="19"/>
      <c r="J20" s="21" t="s">
        <v>1398</v>
      </c>
    </row>
    <row r="21" spans="1:10" ht="15.75" customHeight="1" x14ac:dyDescent="0.25">
      <c r="A21" s="16" t="s">
        <v>1411</v>
      </c>
      <c r="B21" s="16" t="s">
        <v>151</v>
      </c>
      <c r="C21" s="17" t="s">
        <v>59</v>
      </c>
      <c r="D21" s="18" t="s">
        <v>152</v>
      </c>
      <c r="E21" s="18" t="s">
        <v>155</v>
      </c>
      <c r="F21" s="19"/>
      <c r="G21" s="20" t="s">
        <v>1389</v>
      </c>
      <c r="H21" s="20" t="s">
        <v>1390</v>
      </c>
      <c r="I21" s="19"/>
      <c r="J21" s="21" t="s">
        <v>1398</v>
      </c>
    </row>
    <row r="22" spans="1:10" ht="15.75" customHeight="1" x14ac:dyDescent="0.25">
      <c r="A22" s="22" t="s">
        <v>1412</v>
      </c>
      <c r="B22" s="22" t="s">
        <v>156</v>
      </c>
      <c r="C22" s="23" t="s">
        <v>59</v>
      </c>
      <c r="D22" s="24" t="s">
        <v>157</v>
      </c>
      <c r="E22" s="24" t="s">
        <v>160</v>
      </c>
      <c r="F22" s="19"/>
      <c r="G22" s="20" t="s">
        <v>1389</v>
      </c>
      <c r="H22" s="20" t="s">
        <v>1390</v>
      </c>
      <c r="I22" s="19"/>
      <c r="J22" s="21" t="s">
        <v>1391</v>
      </c>
    </row>
    <row r="23" spans="1:10" ht="15.75" customHeight="1" x14ac:dyDescent="0.25">
      <c r="A23" s="16" t="s">
        <v>1413</v>
      </c>
      <c r="B23" s="16" t="s">
        <v>161</v>
      </c>
      <c r="C23" s="17" t="s">
        <v>59</v>
      </c>
      <c r="D23" s="18" t="s">
        <v>162</v>
      </c>
      <c r="E23" s="18" t="s">
        <v>165</v>
      </c>
      <c r="F23" s="19"/>
      <c r="G23" s="20" t="s">
        <v>1389</v>
      </c>
      <c r="H23" s="20" t="s">
        <v>1390</v>
      </c>
      <c r="I23" s="19"/>
      <c r="J23" s="21" t="s">
        <v>1398</v>
      </c>
    </row>
    <row r="24" spans="1:10" ht="15.75" customHeight="1" x14ac:dyDescent="0.25">
      <c r="A24" s="22" t="s">
        <v>1414</v>
      </c>
      <c r="B24" s="22" t="s">
        <v>166</v>
      </c>
      <c r="C24" s="23" t="s">
        <v>59</v>
      </c>
      <c r="D24" s="24" t="s">
        <v>167</v>
      </c>
      <c r="E24" s="24" t="s">
        <v>169</v>
      </c>
      <c r="F24" s="19"/>
      <c r="G24" s="20" t="s">
        <v>1389</v>
      </c>
      <c r="H24" s="20" t="s">
        <v>1390</v>
      </c>
      <c r="I24" s="19"/>
      <c r="J24" s="21" t="s">
        <v>1400</v>
      </c>
    </row>
    <row r="25" spans="1:10" ht="15.75" customHeight="1" x14ac:dyDescent="0.25">
      <c r="A25" s="16" t="s">
        <v>1415</v>
      </c>
      <c r="B25" s="16" t="s">
        <v>170</v>
      </c>
      <c r="C25" s="17" t="s">
        <v>59</v>
      </c>
      <c r="D25" s="18" t="s">
        <v>171</v>
      </c>
      <c r="E25" s="18" t="s">
        <v>174</v>
      </c>
      <c r="F25" s="19"/>
      <c r="G25" s="20" t="s">
        <v>1389</v>
      </c>
      <c r="H25" s="20" t="s">
        <v>1390</v>
      </c>
      <c r="I25" s="19"/>
      <c r="J25" s="21" t="s">
        <v>1398</v>
      </c>
    </row>
    <row r="26" spans="1:10" ht="15.75" customHeight="1" x14ac:dyDescent="0.25">
      <c r="A26" s="22" t="s">
        <v>1416</v>
      </c>
      <c r="B26" s="22" t="s">
        <v>175</v>
      </c>
      <c r="C26" s="23" t="s">
        <v>59</v>
      </c>
      <c r="D26" s="24" t="s">
        <v>176</v>
      </c>
      <c r="E26" s="24" t="s">
        <v>178</v>
      </c>
      <c r="F26" s="19"/>
      <c r="G26" s="20" t="s">
        <v>1389</v>
      </c>
      <c r="H26" s="20" t="s">
        <v>1390</v>
      </c>
      <c r="I26" s="19"/>
      <c r="J26" s="21" t="s">
        <v>1398</v>
      </c>
    </row>
    <row r="27" spans="1:10" ht="15.75" customHeight="1" x14ac:dyDescent="0.25">
      <c r="A27" s="16" t="s">
        <v>1417</v>
      </c>
      <c r="B27" s="16" t="s">
        <v>179</v>
      </c>
      <c r="C27" s="17" t="s">
        <v>59</v>
      </c>
      <c r="D27" s="18" t="s">
        <v>180</v>
      </c>
      <c r="E27" s="18" t="s">
        <v>183</v>
      </c>
      <c r="F27" s="19"/>
      <c r="G27" s="20" t="s">
        <v>1389</v>
      </c>
      <c r="H27" s="20" t="s">
        <v>1390</v>
      </c>
      <c r="I27" s="19"/>
      <c r="J27" s="21" t="s">
        <v>1398</v>
      </c>
    </row>
    <row r="28" spans="1:10" ht="15.75" customHeight="1" x14ac:dyDescent="0.25">
      <c r="A28" s="22" t="s">
        <v>1418</v>
      </c>
      <c r="B28" s="22" t="s">
        <v>185</v>
      </c>
      <c r="C28" s="23" t="s">
        <v>184</v>
      </c>
      <c r="D28" s="24" t="s">
        <v>61</v>
      </c>
      <c r="E28" s="24" t="s">
        <v>188</v>
      </c>
      <c r="F28" s="19"/>
      <c r="G28" s="20" t="s">
        <v>1389</v>
      </c>
      <c r="H28" s="20" t="s">
        <v>1390</v>
      </c>
      <c r="I28" s="19"/>
      <c r="J28" s="21" t="s">
        <v>1398</v>
      </c>
    </row>
    <row r="29" spans="1:10" ht="15.75" customHeight="1" x14ac:dyDescent="0.25">
      <c r="A29" s="16" t="s">
        <v>1419</v>
      </c>
      <c r="B29" s="16" t="s">
        <v>189</v>
      </c>
      <c r="C29" s="17" t="s">
        <v>184</v>
      </c>
      <c r="D29" s="18" t="s">
        <v>190</v>
      </c>
      <c r="E29" s="18" t="s">
        <v>192</v>
      </c>
      <c r="F29" s="19"/>
      <c r="G29" s="20" t="s">
        <v>1389</v>
      </c>
      <c r="H29" s="20" t="s">
        <v>1390</v>
      </c>
      <c r="I29" s="19"/>
      <c r="J29" s="21" t="s">
        <v>1398</v>
      </c>
    </row>
    <row r="30" spans="1:10" ht="15.75" customHeight="1" x14ac:dyDescent="0.25">
      <c r="A30" s="22" t="s">
        <v>1420</v>
      </c>
      <c r="B30" s="22" t="s">
        <v>193</v>
      </c>
      <c r="C30" s="23" t="s">
        <v>184</v>
      </c>
      <c r="D30" s="24" t="s">
        <v>194</v>
      </c>
      <c r="E30" s="24" t="s">
        <v>197</v>
      </c>
      <c r="F30" s="19"/>
      <c r="G30" s="20" t="s">
        <v>1389</v>
      </c>
      <c r="H30" s="20" t="s">
        <v>1390</v>
      </c>
      <c r="I30" s="19"/>
      <c r="J30" s="21" t="s">
        <v>1398</v>
      </c>
    </row>
    <row r="31" spans="1:10" ht="15.75" customHeight="1" x14ac:dyDescent="0.25">
      <c r="A31" s="16" t="s">
        <v>1421</v>
      </c>
      <c r="B31" s="16" t="s">
        <v>198</v>
      </c>
      <c r="C31" s="17" t="s">
        <v>184</v>
      </c>
      <c r="D31" s="18" t="s">
        <v>199</v>
      </c>
      <c r="E31" s="18" t="s">
        <v>201</v>
      </c>
      <c r="F31" s="19"/>
      <c r="G31" s="20" t="s">
        <v>1389</v>
      </c>
      <c r="H31" s="20" t="s">
        <v>1390</v>
      </c>
      <c r="I31" s="19"/>
      <c r="J31" s="21" t="s">
        <v>1400</v>
      </c>
    </row>
    <row r="32" spans="1:10" ht="15.75" customHeight="1" x14ac:dyDescent="0.25">
      <c r="A32" s="22" t="s">
        <v>1422</v>
      </c>
      <c r="B32" s="22" t="s">
        <v>202</v>
      </c>
      <c r="C32" s="23" t="s">
        <v>184</v>
      </c>
      <c r="D32" s="24" t="s">
        <v>203</v>
      </c>
      <c r="E32" s="24" t="s">
        <v>206</v>
      </c>
      <c r="F32" s="19"/>
      <c r="G32" s="20" t="s">
        <v>1389</v>
      </c>
      <c r="H32" s="20" t="s">
        <v>1390</v>
      </c>
      <c r="I32" s="19"/>
      <c r="J32" s="21" t="s">
        <v>1400</v>
      </c>
    </row>
    <row r="33" spans="1:10" ht="15.75" customHeight="1" x14ac:dyDescent="0.25">
      <c r="A33" s="16" t="s">
        <v>1423</v>
      </c>
      <c r="B33" s="16" t="s">
        <v>207</v>
      </c>
      <c r="C33" s="17" t="s">
        <v>184</v>
      </c>
      <c r="D33" s="18" t="s">
        <v>208</v>
      </c>
      <c r="E33" s="18" t="s">
        <v>210</v>
      </c>
      <c r="F33" s="19"/>
      <c r="G33" s="20" t="s">
        <v>1389</v>
      </c>
      <c r="H33" s="20" t="s">
        <v>1390</v>
      </c>
      <c r="I33" s="19"/>
      <c r="J33" s="21" t="s">
        <v>1400</v>
      </c>
    </row>
    <row r="34" spans="1:10" ht="15.75" customHeight="1" x14ac:dyDescent="0.25">
      <c r="A34" s="22" t="s">
        <v>1424</v>
      </c>
      <c r="B34" s="22" t="s">
        <v>212</v>
      </c>
      <c r="C34" s="23" t="s">
        <v>211</v>
      </c>
      <c r="D34" s="24" t="s">
        <v>61</v>
      </c>
      <c r="E34" s="24" t="s">
        <v>215</v>
      </c>
      <c r="F34" s="19"/>
      <c r="G34" s="20" t="s">
        <v>1389</v>
      </c>
      <c r="H34" s="20" t="s">
        <v>1390</v>
      </c>
      <c r="I34" s="19"/>
      <c r="J34" s="21" t="s">
        <v>1398</v>
      </c>
    </row>
    <row r="35" spans="1:10" ht="15.75" customHeight="1" x14ac:dyDescent="0.25">
      <c r="A35" s="16" t="s">
        <v>1425</v>
      </c>
      <c r="B35" s="16" t="s">
        <v>216</v>
      </c>
      <c r="C35" s="17" t="s">
        <v>211</v>
      </c>
      <c r="D35" s="18" t="s">
        <v>217</v>
      </c>
      <c r="E35" s="18" t="s">
        <v>219</v>
      </c>
      <c r="F35" s="19"/>
      <c r="G35" s="20" t="s">
        <v>1389</v>
      </c>
      <c r="H35" s="20" t="s">
        <v>1390</v>
      </c>
      <c r="I35" s="19"/>
      <c r="J35" s="21" t="s">
        <v>1391</v>
      </c>
    </row>
    <row r="36" spans="1:10" ht="15.75" customHeight="1" x14ac:dyDescent="0.25">
      <c r="A36" s="22" t="s">
        <v>1426</v>
      </c>
      <c r="B36" s="22" t="s">
        <v>220</v>
      </c>
      <c r="C36" s="23" t="s">
        <v>211</v>
      </c>
      <c r="D36" s="24" t="s">
        <v>221</v>
      </c>
      <c r="E36" s="24" t="s">
        <v>223</v>
      </c>
      <c r="F36" s="19"/>
      <c r="G36" s="20" t="s">
        <v>1389</v>
      </c>
      <c r="H36" s="20" t="s">
        <v>1390</v>
      </c>
      <c r="I36" s="19"/>
      <c r="J36" s="21" t="s">
        <v>1398</v>
      </c>
    </row>
    <row r="37" spans="1:10" ht="15.75" customHeight="1" x14ac:dyDescent="0.25">
      <c r="A37" s="16" t="s">
        <v>1427</v>
      </c>
      <c r="B37" s="16" t="s">
        <v>224</v>
      </c>
      <c r="C37" s="17" t="s">
        <v>211</v>
      </c>
      <c r="D37" s="18" t="s">
        <v>225</v>
      </c>
      <c r="E37" s="18" t="s">
        <v>227</v>
      </c>
      <c r="F37" s="19"/>
      <c r="G37" s="20" t="s">
        <v>1389</v>
      </c>
      <c r="H37" s="20" t="s">
        <v>1390</v>
      </c>
      <c r="I37" s="19"/>
      <c r="J37" s="21" t="s">
        <v>1398</v>
      </c>
    </row>
    <row r="38" spans="1:10" ht="15.75" customHeight="1" x14ac:dyDescent="0.25">
      <c r="A38" s="22" t="s">
        <v>1428</v>
      </c>
      <c r="B38" s="22" t="s">
        <v>228</v>
      </c>
      <c r="C38" s="23" t="s">
        <v>211</v>
      </c>
      <c r="D38" s="24" t="s">
        <v>229</v>
      </c>
      <c r="E38" s="24" t="s">
        <v>232</v>
      </c>
      <c r="F38" s="19"/>
      <c r="G38" s="20" t="s">
        <v>1389</v>
      </c>
      <c r="H38" s="20" t="s">
        <v>1390</v>
      </c>
      <c r="I38" s="19"/>
      <c r="J38" s="21" t="s">
        <v>1391</v>
      </c>
    </row>
    <row r="39" spans="1:10" ht="15.75" customHeight="1" x14ac:dyDescent="0.25">
      <c r="A39" s="16" t="s">
        <v>1429</v>
      </c>
      <c r="B39" s="16" t="s">
        <v>233</v>
      </c>
      <c r="C39" s="17" t="s">
        <v>211</v>
      </c>
      <c r="D39" s="18" t="s">
        <v>234</v>
      </c>
      <c r="E39" s="18" t="s">
        <v>237</v>
      </c>
      <c r="F39" s="19"/>
      <c r="G39" s="20" t="s">
        <v>1389</v>
      </c>
      <c r="H39" s="20" t="s">
        <v>1390</v>
      </c>
      <c r="I39" s="19"/>
      <c r="J39" s="21" t="s">
        <v>1391</v>
      </c>
    </row>
    <row r="40" spans="1:10" ht="15.75" customHeight="1" x14ac:dyDescent="0.25">
      <c r="A40" s="22" t="s">
        <v>1430</v>
      </c>
      <c r="B40" s="22" t="s">
        <v>238</v>
      </c>
      <c r="C40" s="23" t="s">
        <v>211</v>
      </c>
      <c r="D40" s="24" t="s">
        <v>239</v>
      </c>
      <c r="E40" s="24" t="s">
        <v>241</v>
      </c>
      <c r="F40" s="19"/>
      <c r="G40" s="20" t="s">
        <v>1389</v>
      </c>
      <c r="H40" s="20" t="s">
        <v>1390</v>
      </c>
      <c r="I40" s="19"/>
      <c r="J40" s="21" t="s">
        <v>1398</v>
      </c>
    </row>
    <row r="41" spans="1:10" ht="15.75" customHeight="1" x14ac:dyDescent="0.25">
      <c r="A41" s="16" t="s">
        <v>1431</v>
      </c>
      <c r="B41" s="16" t="s">
        <v>242</v>
      </c>
      <c r="C41" s="17" t="s">
        <v>211</v>
      </c>
      <c r="D41" s="18" t="s">
        <v>243</v>
      </c>
      <c r="E41" s="18" t="s">
        <v>245</v>
      </c>
      <c r="F41" s="19"/>
      <c r="G41" s="20" t="s">
        <v>1389</v>
      </c>
      <c r="H41" s="20" t="s">
        <v>1390</v>
      </c>
      <c r="I41" s="19"/>
      <c r="J41" s="21" t="s">
        <v>1398</v>
      </c>
    </row>
    <row r="42" spans="1:10" ht="15.75" customHeight="1" x14ac:dyDescent="0.25">
      <c r="A42" s="22" t="s">
        <v>1432</v>
      </c>
      <c r="B42" s="22" t="s">
        <v>246</v>
      </c>
      <c r="C42" s="23" t="s">
        <v>211</v>
      </c>
      <c r="D42" s="24" t="s">
        <v>247</v>
      </c>
      <c r="E42" s="24" t="s">
        <v>249</v>
      </c>
      <c r="F42" s="19"/>
      <c r="G42" s="20" t="s">
        <v>1389</v>
      </c>
      <c r="H42" s="20" t="s">
        <v>1390</v>
      </c>
      <c r="I42" s="19"/>
      <c r="J42" s="21" t="s">
        <v>1391</v>
      </c>
    </row>
    <row r="43" spans="1:10" ht="15.75" customHeight="1" x14ac:dyDescent="0.25">
      <c r="A43" s="16" t="s">
        <v>1433</v>
      </c>
      <c r="B43" s="16" t="s">
        <v>250</v>
      </c>
      <c r="C43" s="17" t="s">
        <v>211</v>
      </c>
      <c r="D43" s="18" t="s">
        <v>251</v>
      </c>
      <c r="E43" s="18" t="s">
        <v>254</v>
      </c>
      <c r="F43" s="19"/>
      <c r="G43" s="20" t="s">
        <v>1389</v>
      </c>
      <c r="H43" s="20" t="s">
        <v>1390</v>
      </c>
      <c r="I43" s="19"/>
      <c r="J43" s="21" t="s">
        <v>1391</v>
      </c>
    </row>
    <row r="44" spans="1:10" ht="15.75" customHeight="1" x14ac:dyDescent="0.25">
      <c r="A44" s="22" t="s">
        <v>1434</v>
      </c>
      <c r="B44" s="22" t="s">
        <v>255</v>
      </c>
      <c r="C44" s="23" t="s">
        <v>211</v>
      </c>
      <c r="D44" s="24" t="s">
        <v>256</v>
      </c>
      <c r="E44" s="24" t="s">
        <v>259</v>
      </c>
      <c r="F44" s="19"/>
      <c r="G44" s="20" t="s">
        <v>1389</v>
      </c>
      <c r="H44" s="20" t="s">
        <v>1390</v>
      </c>
      <c r="I44" s="19"/>
      <c r="J44" s="21" t="s">
        <v>1398</v>
      </c>
    </row>
    <row r="45" spans="1:10" ht="15.75" customHeight="1" x14ac:dyDescent="0.25">
      <c r="A45" s="16" t="s">
        <v>1435</v>
      </c>
      <c r="B45" s="16" t="s">
        <v>260</v>
      </c>
      <c r="C45" s="17" t="s">
        <v>211</v>
      </c>
      <c r="D45" s="18" t="s">
        <v>261</v>
      </c>
      <c r="E45" s="18" t="s">
        <v>263</v>
      </c>
      <c r="F45" s="19"/>
      <c r="G45" s="20" t="s">
        <v>1389</v>
      </c>
      <c r="H45" s="20" t="s">
        <v>1390</v>
      </c>
      <c r="I45" s="19"/>
      <c r="J45" s="21" t="s">
        <v>1391</v>
      </c>
    </row>
    <row r="46" spans="1:10" ht="15.75" customHeight="1" x14ac:dyDescent="0.25">
      <c r="A46" s="22" t="s">
        <v>1436</v>
      </c>
      <c r="B46" s="22" t="s">
        <v>264</v>
      </c>
      <c r="C46" s="23" t="s">
        <v>211</v>
      </c>
      <c r="D46" s="24" t="s">
        <v>265</v>
      </c>
      <c r="E46" s="24" t="s">
        <v>268</v>
      </c>
      <c r="F46" s="19"/>
      <c r="G46" s="20" t="s">
        <v>1389</v>
      </c>
      <c r="H46" s="20" t="s">
        <v>1390</v>
      </c>
      <c r="I46" s="19"/>
      <c r="J46" s="21" t="s">
        <v>1398</v>
      </c>
    </row>
    <row r="47" spans="1:10" ht="15.75" customHeight="1" x14ac:dyDescent="0.25">
      <c r="A47" s="16" t="s">
        <v>1437</v>
      </c>
      <c r="B47" s="16" t="s">
        <v>269</v>
      </c>
      <c r="C47" s="17" t="s">
        <v>211</v>
      </c>
      <c r="D47" s="18" t="s">
        <v>270</v>
      </c>
      <c r="E47" s="18" t="s">
        <v>273</v>
      </c>
      <c r="F47" s="19"/>
      <c r="G47" s="20" t="s">
        <v>1389</v>
      </c>
      <c r="H47" s="20" t="s">
        <v>1390</v>
      </c>
      <c r="I47" s="19"/>
      <c r="J47" s="21" t="s">
        <v>1398</v>
      </c>
    </row>
    <row r="48" spans="1:10" ht="15.75" customHeight="1" x14ac:dyDescent="0.25">
      <c r="A48" s="22" t="s">
        <v>1438</v>
      </c>
      <c r="B48" s="22" t="s">
        <v>274</v>
      </c>
      <c r="C48" s="23" t="s">
        <v>211</v>
      </c>
      <c r="D48" s="24" t="s">
        <v>275</v>
      </c>
      <c r="E48" s="24" t="s">
        <v>278</v>
      </c>
      <c r="F48" s="19"/>
      <c r="G48" s="20" t="s">
        <v>1389</v>
      </c>
      <c r="H48" s="20" t="s">
        <v>1390</v>
      </c>
      <c r="I48" s="19"/>
      <c r="J48" s="21" t="s">
        <v>1398</v>
      </c>
    </row>
    <row r="49" spans="1:10" ht="15.75" customHeight="1" x14ac:dyDescent="0.25">
      <c r="A49" s="16" t="s">
        <v>1439</v>
      </c>
      <c r="B49" s="16" t="s">
        <v>279</v>
      </c>
      <c r="C49" s="17" t="s">
        <v>211</v>
      </c>
      <c r="D49" s="18" t="s">
        <v>280</v>
      </c>
      <c r="E49" s="18" t="s">
        <v>283</v>
      </c>
      <c r="F49" s="19"/>
      <c r="G49" s="20" t="s">
        <v>1389</v>
      </c>
      <c r="H49" s="20" t="s">
        <v>1390</v>
      </c>
      <c r="I49" s="19"/>
      <c r="J49" s="21" t="s">
        <v>1398</v>
      </c>
    </row>
    <row r="50" spans="1:10" ht="15.75" customHeight="1" x14ac:dyDescent="0.25">
      <c r="A50" s="22" t="s">
        <v>1440</v>
      </c>
      <c r="B50" s="22" t="s">
        <v>285</v>
      </c>
      <c r="C50" s="23" t="s">
        <v>284</v>
      </c>
      <c r="D50" s="24" t="s">
        <v>61</v>
      </c>
      <c r="E50" s="24" t="s">
        <v>288</v>
      </c>
      <c r="F50" s="19"/>
      <c r="G50" s="20" t="s">
        <v>1389</v>
      </c>
      <c r="H50" s="20" t="s">
        <v>1390</v>
      </c>
      <c r="I50" s="19"/>
      <c r="J50" s="21" t="s">
        <v>1398</v>
      </c>
    </row>
    <row r="51" spans="1:10" ht="15.75" customHeight="1" x14ac:dyDescent="0.25">
      <c r="A51" s="16" t="s">
        <v>1441</v>
      </c>
      <c r="B51" s="16" t="s">
        <v>289</v>
      </c>
      <c r="C51" s="17" t="s">
        <v>284</v>
      </c>
      <c r="D51" s="18" t="s">
        <v>290</v>
      </c>
      <c r="E51" s="18" t="s">
        <v>292</v>
      </c>
      <c r="F51" s="19"/>
      <c r="G51" s="20" t="s">
        <v>1389</v>
      </c>
      <c r="H51" s="20" t="s">
        <v>1390</v>
      </c>
      <c r="I51" s="19"/>
      <c r="J51" s="21" t="s">
        <v>1391</v>
      </c>
    </row>
    <row r="52" spans="1:10" ht="15.75" customHeight="1" x14ac:dyDescent="0.25">
      <c r="A52" s="22" t="s">
        <v>1442</v>
      </c>
      <c r="B52" s="22" t="s">
        <v>293</v>
      </c>
      <c r="C52" s="23" t="s">
        <v>284</v>
      </c>
      <c r="D52" s="24" t="s">
        <v>294</v>
      </c>
      <c r="E52" s="24" t="s">
        <v>297</v>
      </c>
      <c r="F52" s="19"/>
      <c r="G52" s="20" t="s">
        <v>1389</v>
      </c>
      <c r="H52" s="20" t="s">
        <v>1390</v>
      </c>
      <c r="I52" s="19"/>
      <c r="J52" s="21" t="s">
        <v>1391</v>
      </c>
    </row>
    <row r="53" spans="1:10" ht="15.75" customHeight="1" x14ac:dyDescent="0.25">
      <c r="A53" s="16" t="s">
        <v>1443</v>
      </c>
      <c r="B53" s="16" t="s">
        <v>298</v>
      </c>
      <c r="C53" s="17" t="s">
        <v>284</v>
      </c>
      <c r="D53" s="18" t="s">
        <v>299</v>
      </c>
      <c r="E53" s="18" t="s">
        <v>302</v>
      </c>
      <c r="F53" s="19"/>
      <c r="G53" s="20" t="s">
        <v>1389</v>
      </c>
      <c r="H53" s="20" t="s">
        <v>1390</v>
      </c>
      <c r="I53" s="19"/>
      <c r="J53" s="21" t="s">
        <v>1391</v>
      </c>
    </row>
    <row r="54" spans="1:10" ht="15.75" customHeight="1" x14ac:dyDescent="0.25">
      <c r="A54" s="22" t="s">
        <v>1444</v>
      </c>
      <c r="B54" s="22" t="s">
        <v>303</v>
      </c>
      <c r="C54" s="23" t="s">
        <v>284</v>
      </c>
      <c r="D54" s="24" t="s">
        <v>304</v>
      </c>
      <c r="E54" s="24" t="s">
        <v>306</v>
      </c>
      <c r="F54" s="19"/>
      <c r="G54" s="20" t="s">
        <v>1389</v>
      </c>
      <c r="H54" s="20" t="s">
        <v>1390</v>
      </c>
      <c r="I54" s="19"/>
      <c r="J54" s="21" t="s">
        <v>1391</v>
      </c>
    </row>
    <row r="55" spans="1:10" ht="15.75" customHeight="1" x14ac:dyDescent="0.25">
      <c r="A55" s="16" t="s">
        <v>1445</v>
      </c>
      <c r="B55" s="16" t="s">
        <v>307</v>
      </c>
      <c r="C55" s="17" t="s">
        <v>284</v>
      </c>
      <c r="D55" s="18" t="s">
        <v>308</v>
      </c>
      <c r="E55" s="18" t="s">
        <v>311</v>
      </c>
      <c r="F55" s="19"/>
      <c r="G55" s="20" t="s">
        <v>1389</v>
      </c>
      <c r="H55" s="20" t="s">
        <v>1390</v>
      </c>
      <c r="I55" s="19"/>
      <c r="J55" s="21" t="s">
        <v>1391</v>
      </c>
    </row>
    <row r="56" spans="1:10" ht="15.75" customHeight="1" x14ac:dyDescent="0.25">
      <c r="A56" s="22" t="s">
        <v>1446</v>
      </c>
      <c r="B56" s="22" t="s">
        <v>312</v>
      </c>
      <c r="C56" s="23" t="s">
        <v>284</v>
      </c>
      <c r="D56" s="24" t="s">
        <v>313</v>
      </c>
      <c r="E56" s="24" t="s">
        <v>316</v>
      </c>
      <c r="F56" s="19"/>
      <c r="G56" s="20" t="s">
        <v>1389</v>
      </c>
      <c r="H56" s="20" t="s">
        <v>1390</v>
      </c>
      <c r="I56" s="19"/>
      <c r="J56" s="21" t="s">
        <v>1391</v>
      </c>
    </row>
    <row r="57" spans="1:10" ht="15.75" customHeight="1" x14ac:dyDescent="0.25">
      <c r="A57" s="16" t="s">
        <v>1447</v>
      </c>
      <c r="B57" s="16" t="s">
        <v>317</v>
      </c>
      <c r="C57" s="17" t="s">
        <v>284</v>
      </c>
      <c r="D57" s="18" t="s">
        <v>318</v>
      </c>
      <c r="E57" s="18" t="s">
        <v>321</v>
      </c>
      <c r="F57" s="19"/>
      <c r="G57" s="20" t="s">
        <v>1389</v>
      </c>
      <c r="H57" s="20" t="s">
        <v>1390</v>
      </c>
      <c r="I57" s="19"/>
      <c r="J57" s="21" t="s">
        <v>1391</v>
      </c>
    </row>
    <row r="58" spans="1:10" ht="15.75" customHeight="1" x14ac:dyDescent="0.25">
      <c r="A58" s="22" t="s">
        <v>1448</v>
      </c>
      <c r="B58" s="22" t="s">
        <v>322</v>
      </c>
      <c r="C58" s="23" t="s">
        <v>284</v>
      </c>
      <c r="D58" s="24" t="s">
        <v>323</v>
      </c>
      <c r="E58" s="24" t="s">
        <v>326</v>
      </c>
      <c r="F58" s="19"/>
      <c r="G58" s="20" t="s">
        <v>1389</v>
      </c>
      <c r="H58" s="20" t="s">
        <v>1390</v>
      </c>
      <c r="I58" s="19"/>
      <c r="J58" s="21" t="s">
        <v>1398</v>
      </c>
    </row>
    <row r="59" spans="1:10" ht="15.75" customHeight="1" x14ac:dyDescent="0.25">
      <c r="A59" s="16" t="s">
        <v>1449</v>
      </c>
      <c r="B59" s="16" t="s">
        <v>328</v>
      </c>
      <c r="C59" s="17" t="s">
        <v>327</v>
      </c>
      <c r="D59" s="18" t="s">
        <v>61</v>
      </c>
      <c r="E59" s="18" t="s">
        <v>331</v>
      </c>
      <c r="F59" s="19"/>
      <c r="G59" s="20" t="s">
        <v>1389</v>
      </c>
      <c r="H59" s="20" t="s">
        <v>1390</v>
      </c>
      <c r="I59" s="19"/>
      <c r="J59" s="21" t="s">
        <v>1398</v>
      </c>
    </row>
    <row r="60" spans="1:10" ht="15.75" customHeight="1" x14ac:dyDescent="0.25">
      <c r="A60" s="22" t="s">
        <v>1450</v>
      </c>
      <c r="B60" s="22" t="s">
        <v>332</v>
      </c>
      <c r="C60" s="23" t="s">
        <v>327</v>
      </c>
      <c r="D60" s="24" t="s">
        <v>333</v>
      </c>
      <c r="E60" s="24" t="s">
        <v>335</v>
      </c>
      <c r="F60" s="19"/>
      <c r="G60" s="20" t="s">
        <v>1389</v>
      </c>
      <c r="H60" s="20" t="s">
        <v>1390</v>
      </c>
      <c r="I60" s="19"/>
      <c r="J60" s="21" t="s">
        <v>1391</v>
      </c>
    </row>
    <row r="61" spans="1:10" ht="15.75" customHeight="1" x14ac:dyDescent="0.25">
      <c r="A61" s="16" t="s">
        <v>1451</v>
      </c>
      <c r="B61" s="16" t="s">
        <v>336</v>
      </c>
      <c r="C61" s="17" t="s">
        <v>327</v>
      </c>
      <c r="D61" s="18" t="s">
        <v>337</v>
      </c>
      <c r="E61" s="18" t="s">
        <v>340</v>
      </c>
      <c r="F61" s="19"/>
      <c r="G61" s="20" t="s">
        <v>1389</v>
      </c>
      <c r="H61" s="20" t="s">
        <v>1390</v>
      </c>
      <c r="I61" s="19"/>
      <c r="J61" s="21" t="s">
        <v>1391</v>
      </c>
    </row>
    <row r="62" spans="1:10" ht="15.75" customHeight="1" x14ac:dyDescent="0.25">
      <c r="A62" s="22" t="s">
        <v>1452</v>
      </c>
      <c r="B62" s="22" t="s">
        <v>341</v>
      </c>
      <c r="C62" s="23" t="s">
        <v>327</v>
      </c>
      <c r="D62" s="24" t="s">
        <v>342</v>
      </c>
      <c r="E62" s="24" t="s">
        <v>345</v>
      </c>
      <c r="F62" s="19"/>
      <c r="G62" s="20" t="s">
        <v>1389</v>
      </c>
      <c r="H62" s="20" t="s">
        <v>1390</v>
      </c>
      <c r="I62" s="19"/>
      <c r="J62" s="21" t="s">
        <v>1391</v>
      </c>
    </row>
    <row r="63" spans="1:10" ht="15.75" customHeight="1" x14ac:dyDescent="0.25">
      <c r="A63" s="16" t="s">
        <v>1453</v>
      </c>
      <c r="B63" s="16" t="s">
        <v>346</v>
      </c>
      <c r="C63" s="17" t="s">
        <v>327</v>
      </c>
      <c r="D63" s="18" t="s">
        <v>347</v>
      </c>
      <c r="E63" s="18" t="s">
        <v>350</v>
      </c>
      <c r="F63" s="19"/>
      <c r="G63" s="20" t="s">
        <v>1389</v>
      </c>
      <c r="H63" s="20" t="s">
        <v>1390</v>
      </c>
      <c r="I63" s="19"/>
      <c r="J63" s="21" t="s">
        <v>1391</v>
      </c>
    </row>
    <row r="64" spans="1:10" ht="15.75" customHeight="1" x14ac:dyDescent="0.25">
      <c r="A64" s="22" t="s">
        <v>1454</v>
      </c>
      <c r="B64" s="22" t="s">
        <v>351</v>
      </c>
      <c r="C64" s="23" t="s">
        <v>327</v>
      </c>
      <c r="D64" s="24" t="s">
        <v>352</v>
      </c>
      <c r="E64" s="24" t="s">
        <v>355</v>
      </c>
      <c r="F64" s="19"/>
      <c r="G64" s="20" t="s">
        <v>1389</v>
      </c>
      <c r="H64" s="20" t="s">
        <v>1390</v>
      </c>
      <c r="I64" s="19"/>
      <c r="J64" s="21" t="s">
        <v>1391</v>
      </c>
    </row>
    <row r="65" spans="1:10" ht="15.75" customHeight="1" x14ac:dyDescent="0.25">
      <c r="A65" s="16" t="s">
        <v>1455</v>
      </c>
      <c r="B65" s="16" t="s">
        <v>356</v>
      </c>
      <c r="C65" s="17" t="s">
        <v>327</v>
      </c>
      <c r="D65" s="18" t="s">
        <v>357</v>
      </c>
      <c r="E65" s="18" t="s">
        <v>360</v>
      </c>
      <c r="F65" s="19"/>
      <c r="G65" s="20" t="s">
        <v>1389</v>
      </c>
      <c r="H65" s="20" t="s">
        <v>1390</v>
      </c>
      <c r="I65" s="19"/>
      <c r="J65" s="21" t="s">
        <v>1391</v>
      </c>
    </row>
    <row r="66" spans="1:10" ht="15.75" customHeight="1" x14ac:dyDescent="0.25">
      <c r="A66" s="22" t="s">
        <v>1456</v>
      </c>
      <c r="B66" s="22" t="s">
        <v>361</v>
      </c>
      <c r="C66" s="23" t="s">
        <v>327</v>
      </c>
      <c r="D66" s="24" t="s">
        <v>362</v>
      </c>
      <c r="E66" s="24" t="s">
        <v>365</v>
      </c>
      <c r="F66" s="19"/>
      <c r="G66" s="20" t="s">
        <v>1389</v>
      </c>
      <c r="H66" s="20" t="s">
        <v>1390</v>
      </c>
      <c r="I66" s="19"/>
      <c r="J66" s="21" t="s">
        <v>1398</v>
      </c>
    </row>
    <row r="67" spans="1:10" ht="15.75" customHeight="1" x14ac:dyDescent="0.25">
      <c r="A67" s="16" t="s">
        <v>1457</v>
      </c>
      <c r="B67" s="16" t="s">
        <v>366</v>
      </c>
      <c r="C67" s="17" t="s">
        <v>327</v>
      </c>
      <c r="D67" s="18" t="s">
        <v>367</v>
      </c>
      <c r="E67" s="18" t="s">
        <v>369</v>
      </c>
      <c r="F67" s="19"/>
      <c r="G67" s="20" t="s">
        <v>1389</v>
      </c>
      <c r="H67" s="20" t="s">
        <v>1390</v>
      </c>
      <c r="I67" s="19"/>
      <c r="J67" s="21" t="s">
        <v>1398</v>
      </c>
    </row>
    <row r="68" spans="1:10" ht="15.75" customHeight="1" x14ac:dyDescent="0.25">
      <c r="A68" s="22" t="s">
        <v>1458</v>
      </c>
      <c r="B68" s="22" t="s">
        <v>370</v>
      </c>
      <c r="C68" s="23" t="s">
        <v>327</v>
      </c>
      <c r="D68" s="24" t="s">
        <v>371</v>
      </c>
      <c r="E68" s="24" t="s">
        <v>374</v>
      </c>
      <c r="F68" s="19"/>
      <c r="G68" s="20" t="s">
        <v>1389</v>
      </c>
      <c r="H68" s="20" t="s">
        <v>1390</v>
      </c>
      <c r="I68" s="19"/>
      <c r="J68" s="21" t="s">
        <v>1398</v>
      </c>
    </row>
    <row r="69" spans="1:10" ht="15.75" customHeight="1" x14ac:dyDescent="0.25">
      <c r="A69" s="16" t="s">
        <v>1459</v>
      </c>
      <c r="B69" s="16" t="s">
        <v>375</v>
      </c>
      <c r="C69" s="17" t="s">
        <v>327</v>
      </c>
      <c r="D69" s="18" t="s">
        <v>376</v>
      </c>
      <c r="E69" s="18" t="s">
        <v>378</v>
      </c>
      <c r="F69" s="19"/>
      <c r="G69" s="20" t="s">
        <v>1389</v>
      </c>
      <c r="H69" s="20" t="s">
        <v>1390</v>
      </c>
      <c r="I69" s="19"/>
      <c r="J69" s="21" t="s">
        <v>1398</v>
      </c>
    </row>
    <row r="70" spans="1:10" ht="15.75" customHeight="1" x14ac:dyDescent="0.25">
      <c r="A70" s="22" t="s">
        <v>1460</v>
      </c>
      <c r="B70" s="22" t="s">
        <v>379</v>
      </c>
      <c r="C70" s="23" t="s">
        <v>327</v>
      </c>
      <c r="D70" s="24" t="s">
        <v>380</v>
      </c>
      <c r="E70" s="24" t="s">
        <v>383</v>
      </c>
      <c r="F70" s="19"/>
      <c r="G70" s="20" t="s">
        <v>1389</v>
      </c>
      <c r="H70" s="20" t="s">
        <v>1390</v>
      </c>
      <c r="I70" s="19"/>
      <c r="J70" s="21" t="s">
        <v>1398</v>
      </c>
    </row>
    <row r="71" spans="1:10" ht="15.75" customHeight="1" x14ac:dyDescent="0.25">
      <c r="A71" s="16" t="s">
        <v>1461</v>
      </c>
      <c r="B71" s="16" t="s">
        <v>384</v>
      </c>
      <c r="C71" s="17" t="s">
        <v>327</v>
      </c>
      <c r="D71" s="18" t="s">
        <v>385</v>
      </c>
      <c r="E71" s="18" t="s">
        <v>387</v>
      </c>
      <c r="F71" s="19"/>
      <c r="G71" s="20" t="s">
        <v>1389</v>
      </c>
      <c r="H71" s="20" t="s">
        <v>1390</v>
      </c>
      <c r="I71" s="19"/>
      <c r="J71" s="21" t="s">
        <v>1398</v>
      </c>
    </row>
    <row r="72" spans="1:10" ht="15.75" customHeight="1" x14ac:dyDescent="0.25">
      <c r="A72" s="22" t="s">
        <v>1462</v>
      </c>
      <c r="B72" s="22" t="s">
        <v>388</v>
      </c>
      <c r="C72" s="23" t="s">
        <v>327</v>
      </c>
      <c r="D72" s="24" t="s">
        <v>389</v>
      </c>
      <c r="E72" s="24" t="s">
        <v>392</v>
      </c>
      <c r="F72" s="19"/>
      <c r="G72" s="20" t="s">
        <v>1389</v>
      </c>
      <c r="H72" s="20" t="s">
        <v>1390</v>
      </c>
      <c r="I72" s="19"/>
      <c r="J72" s="21" t="s">
        <v>1398</v>
      </c>
    </row>
    <row r="73" spans="1:10" ht="15.75" customHeight="1" x14ac:dyDescent="0.25">
      <c r="A73" s="16" t="s">
        <v>1463</v>
      </c>
      <c r="B73" s="16" t="s">
        <v>394</v>
      </c>
      <c r="C73" s="17" t="s">
        <v>393</v>
      </c>
      <c r="D73" s="18" t="s">
        <v>61</v>
      </c>
      <c r="E73" s="18" t="s">
        <v>397</v>
      </c>
      <c r="F73" s="19"/>
      <c r="G73" s="20" t="s">
        <v>1389</v>
      </c>
      <c r="H73" s="20" t="s">
        <v>1390</v>
      </c>
      <c r="I73" s="19"/>
      <c r="J73" s="21" t="s">
        <v>1398</v>
      </c>
    </row>
    <row r="74" spans="1:10" ht="15.75" customHeight="1" x14ac:dyDescent="0.25">
      <c r="A74" s="22" t="s">
        <v>1464</v>
      </c>
      <c r="B74" s="22" t="s">
        <v>398</v>
      </c>
      <c r="C74" s="23" t="s">
        <v>393</v>
      </c>
      <c r="D74" s="24" t="s">
        <v>399</v>
      </c>
      <c r="E74" s="24" t="s">
        <v>401</v>
      </c>
      <c r="F74" s="19"/>
      <c r="G74" s="20" t="s">
        <v>1389</v>
      </c>
      <c r="H74" s="20" t="s">
        <v>1390</v>
      </c>
      <c r="I74" s="19"/>
      <c r="J74" s="21" t="s">
        <v>1391</v>
      </c>
    </row>
    <row r="75" spans="1:10" ht="15.75" customHeight="1" x14ac:dyDescent="0.25">
      <c r="A75" s="16" t="s">
        <v>1465</v>
      </c>
      <c r="B75" s="16" t="s">
        <v>402</v>
      </c>
      <c r="C75" s="17" t="s">
        <v>393</v>
      </c>
      <c r="D75" s="18" t="s">
        <v>403</v>
      </c>
      <c r="E75" s="18" t="s">
        <v>406</v>
      </c>
      <c r="F75" s="19"/>
      <c r="G75" s="20" t="s">
        <v>1389</v>
      </c>
      <c r="H75" s="20" t="s">
        <v>1390</v>
      </c>
      <c r="I75" s="19"/>
      <c r="J75" s="21" t="s">
        <v>1398</v>
      </c>
    </row>
    <row r="76" spans="1:10" ht="15.75" customHeight="1" x14ac:dyDescent="0.25">
      <c r="A76" s="22" t="s">
        <v>1466</v>
      </c>
      <c r="B76" s="22" t="s">
        <v>407</v>
      </c>
      <c r="C76" s="23" t="s">
        <v>393</v>
      </c>
      <c r="D76" s="24" t="s">
        <v>408</v>
      </c>
      <c r="E76" s="24" t="s">
        <v>410</v>
      </c>
      <c r="F76" s="19"/>
      <c r="G76" s="20" t="s">
        <v>1389</v>
      </c>
      <c r="H76" s="20" t="s">
        <v>1390</v>
      </c>
      <c r="I76" s="19"/>
      <c r="J76" s="21" t="s">
        <v>1391</v>
      </c>
    </row>
    <row r="77" spans="1:10" ht="15.75" customHeight="1" x14ac:dyDescent="0.25">
      <c r="A77" s="16" t="s">
        <v>1467</v>
      </c>
      <c r="B77" s="16" t="s">
        <v>411</v>
      </c>
      <c r="C77" s="17" t="s">
        <v>393</v>
      </c>
      <c r="D77" s="18" t="s">
        <v>412</v>
      </c>
      <c r="E77" s="18" t="s">
        <v>415</v>
      </c>
      <c r="F77" s="19"/>
      <c r="G77" s="20" t="s">
        <v>1389</v>
      </c>
      <c r="H77" s="20" t="s">
        <v>1390</v>
      </c>
      <c r="I77" s="19"/>
      <c r="J77" s="21" t="s">
        <v>1391</v>
      </c>
    </row>
    <row r="78" spans="1:10" ht="15.75" customHeight="1" x14ac:dyDescent="0.25">
      <c r="A78" s="22" t="s">
        <v>1468</v>
      </c>
      <c r="B78" s="22" t="s">
        <v>416</v>
      </c>
      <c r="C78" s="23" t="s">
        <v>393</v>
      </c>
      <c r="D78" s="24" t="s">
        <v>417</v>
      </c>
      <c r="E78" s="24" t="s">
        <v>419</v>
      </c>
      <c r="F78" s="19"/>
      <c r="G78" s="20" t="s">
        <v>1389</v>
      </c>
      <c r="H78" s="20" t="s">
        <v>1390</v>
      </c>
      <c r="I78" s="19"/>
      <c r="J78" s="21" t="s">
        <v>1391</v>
      </c>
    </row>
    <row r="79" spans="1:10" ht="15.75" customHeight="1" x14ac:dyDescent="0.25">
      <c r="A79" s="16" t="s">
        <v>1469</v>
      </c>
      <c r="B79" s="16" t="s">
        <v>420</v>
      </c>
      <c r="C79" s="17" t="s">
        <v>393</v>
      </c>
      <c r="D79" s="18" t="s">
        <v>421</v>
      </c>
      <c r="E79" s="18" t="s">
        <v>423</v>
      </c>
      <c r="F79" s="19"/>
      <c r="G79" s="20" t="s">
        <v>1389</v>
      </c>
      <c r="H79" s="20" t="s">
        <v>1390</v>
      </c>
      <c r="I79" s="19"/>
      <c r="J79" s="21" t="s">
        <v>1391</v>
      </c>
    </row>
    <row r="80" spans="1:10" ht="15.75" customHeight="1" x14ac:dyDescent="0.25">
      <c r="A80" s="22" t="s">
        <v>1470</v>
      </c>
      <c r="B80" s="22" t="s">
        <v>424</v>
      </c>
      <c r="C80" s="23" t="s">
        <v>393</v>
      </c>
      <c r="D80" s="24" t="s">
        <v>425</v>
      </c>
      <c r="E80" s="24" t="s">
        <v>428</v>
      </c>
      <c r="F80" s="19"/>
      <c r="G80" s="20" t="s">
        <v>1389</v>
      </c>
      <c r="H80" s="20" t="s">
        <v>1390</v>
      </c>
      <c r="I80" s="19"/>
      <c r="J80" s="21" t="s">
        <v>1391</v>
      </c>
    </row>
    <row r="81" spans="1:10" ht="15.75" customHeight="1" x14ac:dyDescent="0.25">
      <c r="A81" s="16" t="s">
        <v>1471</v>
      </c>
      <c r="B81" s="16" t="s">
        <v>429</v>
      </c>
      <c r="C81" s="17" t="s">
        <v>393</v>
      </c>
      <c r="D81" s="18" t="s">
        <v>430</v>
      </c>
      <c r="E81" s="18" t="s">
        <v>433</v>
      </c>
      <c r="F81" s="19"/>
      <c r="G81" s="20" t="s">
        <v>1389</v>
      </c>
      <c r="H81" s="20" t="s">
        <v>1390</v>
      </c>
      <c r="I81" s="19"/>
      <c r="J81" s="21" t="s">
        <v>1391</v>
      </c>
    </row>
    <row r="82" spans="1:10" ht="15.75" customHeight="1" x14ac:dyDescent="0.25">
      <c r="A82" s="22" t="s">
        <v>1472</v>
      </c>
      <c r="B82" s="22" t="s">
        <v>434</v>
      </c>
      <c r="C82" s="23" t="s">
        <v>393</v>
      </c>
      <c r="D82" s="24" t="s">
        <v>435</v>
      </c>
      <c r="E82" s="24" t="s">
        <v>437</v>
      </c>
      <c r="F82" s="19"/>
      <c r="G82" s="20" t="s">
        <v>1389</v>
      </c>
      <c r="H82" s="20" t="s">
        <v>1390</v>
      </c>
      <c r="I82" s="19"/>
      <c r="J82" s="21" t="s">
        <v>1391</v>
      </c>
    </row>
    <row r="83" spans="1:10" ht="15.75" customHeight="1" x14ac:dyDescent="0.25">
      <c r="A83" s="16" t="s">
        <v>1473</v>
      </c>
      <c r="B83" s="16" t="s">
        <v>438</v>
      </c>
      <c r="C83" s="17" t="s">
        <v>393</v>
      </c>
      <c r="D83" s="18" t="s">
        <v>439</v>
      </c>
      <c r="E83" s="18" t="s">
        <v>442</v>
      </c>
      <c r="F83" s="19"/>
      <c r="G83" s="20" t="s">
        <v>1389</v>
      </c>
      <c r="H83" s="20" t="s">
        <v>1390</v>
      </c>
      <c r="I83" s="19"/>
      <c r="J83" s="21" t="s">
        <v>1398</v>
      </c>
    </row>
    <row r="84" spans="1:10" ht="15.75" customHeight="1" x14ac:dyDescent="0.25">
      <c r="A84" s="22" t="s">
        <v>1474</v>
      </c>
      <c r="B84" s="22" t="s">
        <v>443</v>
      </c>
      <c r="C84" s="23" t="s">
        <v>393</v>
      </c>
      <c r="D84" s="24" t="s">
        <v>444</v>
      </c>
      <c r="E84" s="24" t="s">
        <v>447</v>
      </c>
      <c r="F84" s="19"/>
      <c r="G84" s="20" t="s">
        <v>1389</v>
      </c>
      <c r="H84" s="20" t="s">
        <v>1390</v>
      </c>
      <c r="I84" s="19"/>
      <c r="J84" s="21" t="s">
        <v>1398</v>
      </c>
    </row>
    <row r="85" spans="1:10" ht="15.75" customHeight="1" x14ac:dyDescent="0.25">
      <c r="A85" s="16" t="s">
        <v>1475</v>
      </c>
      <c r="B85" s="16" t="s">
        <v>448</v>
      </c>
      <c r="C85" s="17" t="s">
        <v>393</v>
      </c>
      <c r="D85" s="18" t="s">
        <v>449</v>
      </c>
      <c r="E85" s="18" t="s">
        <v>452</v>
      </c>
      <c r="F85" s="19"/>
      <c r="G85" s="20" t="s">
        <v>1389</v>
      </c>
      <c r="H85" s="20" t="s">
        <v>1390</v>
      </c>
      <c r="I85" s="19"/>
      <c r="J85" s="21" t="s">
        <v>1398</v>
      </c>
    </row>
    <row r="86" spans="1:10" ht="15.75" customHeight="1" x14ac:dyDescent="0.25">
      <c r="A86" s="22" t="s">
        <v>1476</v>
      </c>
      <c r="B86" s="22" t="s">
        <v>454</v>
      </c>
      <c r="C86" s="23" t="s">
        <v>453</v>
      </c>
      <c r="D86" s="24" t="s">
        <v>61</v>
      </c>
      <c r="E86" s="24" t="s">
        <v>457</v>
      </c>
      <c r="F86" s="19"/>
      <c r="G86" s="20" t="s">
        <v>1389</v>
      </c>
      <c r="H86" s="20" t="s">
        <v>1390</v>
      </c>
      <c r="I86" s="19"/>
      <c r="J86" s="21" t="s">
        <v>1398</v>
      </c>
    </row>
    <row r="87" spans="1:10" ht="15.75" customHeight="1" x14ac:dyDescent="0.25">
      <c r="A87" s="16" t="s">
        <v>1477</v>
      </c>
      <c r="B87" s="16" t="s">
        <v>458</v>
      </c>
      <c r="C87" s="17" t="s">
        <v>453</v>
      </c>
      <c r="D87" s="18" t="s">
        <v>459</v>
      </c>
      <c r="E87" s="18" t="s">
        <v>462</v>
      </c>
      <c r="F87" s="19"/>
      <c r="G87" s="20" t="s">
        <v>1389</v>
      </c>
      <c r="H87" s="20" t="s">
        <v>1390</v>
      </c>
      <c r="I87" s="19"/>
      <c r="J87" s="21" t="s">
        <v>1478</v>
      </c>
    </row>
    <row r="88" spans="1:10" ht="15.75" customHeight="1" x14ac:dyDescent="0.25">
      <c r="A88" s="22" t="s">
        <v>1479</v>
      </c>
      <c r="B88" s="22" t="s">
        <v>464</v>
      </c>
      <c r="C88" s="23" t="s">
        <v>453</v>
      </c>
      <c r="D88" s="24" t="s">
        <v>465</v>
      </c>
      <c r="E88" s="24" t="s">
        <v>468</v>
      </c>
      <c r="F88" s="19"/>
      <c r="G88" s="20" t="s">
        <v>1389</v>
      </c>
      <c r="H88" s="20" t="s">
        <v>1390</v>
      </c>
      <c r="I88" s="19"/>
      <c r="J88" s="21" t="s">
        <v>1391</v>
      </c>
    </row>
    <row r="89" spans="1:10" ht="15.75" customHeight="1" x14ac:dyDescent="0.25">
      <c r="A89" s="16" t="s">
        <v>1480</v>
      </c>
      <c r="B89" s="16" t="s">
        <v>469</v>
      </c>
      <c r="C89" s="17" t="s">
        <v>453</v>
      </c>
      <c r="D89" s="18" t="s">
        <v>470</v>
      </c>
      <c r="E89" s="18" t="s">
        <v>472</v>
      </c>
      <c r="F89" s="19"/>
      <c r="G89" s="20" t="s">
        <v>1389</v>
      </c>
      <c r="H89" s="20" t="s">
        <v>1390</v>
      </c>
      <c r="I89" s="19"/>
      <c r="J89" s="21" t="s">
        <v>1398</v>
      </c>
    </row>
    <row r="90" spans="1:10" ht="15.75" customHeight="1" x14ac:dyDescent="0.25">
      <c r="A90" s="22" t="s">
        <v>1481</v>
      </c>
      <c r="B90" s="22" t="s">
        <v>473</v>
      </c>
      <c r="C90" s="23" t="s">
        <v>453</v>
      </c>
      <c r="D90" s="24" t="s">
        <v>474</v>
      </c>
      <c r="E90" s="24" t="s">
        <v>477</v>
      </c>
      <c r="F90" s="19"/>
      <c r="G90" s="20" t="s">
        <v>1389</v>
      </c>
      <c r="H90" s="20" t="s">
        <v>1390</v>
      </c>
      <c r="I90" s="19"/>
      <c r="J90" s="21" t="s">
        <v>1391</v>
      </c>
    </row>
    <row r="91" spans="1:10" ht="15.75" customHeight="1" x14ac:dyDescent="0.25">
      <c r="A91" s="16" t="s">
        <v>1482</v>
      </c>
      <c r="B91" s="16" t="s">
        <v>478</v>
      </c>
      <c r="C91" s="17" t="s">
        <v>453</v>
      </c>
      <c r="D91" s="18" t="s">
        <v>479</v>
      </c>
      <c r="E91" s="18" t="s">
        <v>481</v>
      </c>
      <c r="F91" s="19"/>
      <c r="G91" s="20" t="s">
        <v>1389</v>
      </c>
      <c r="H91" s="20" t="s">
        <v>1390</v>
      </c>
      <c r="I91" s="19"/>
      <c r="J91" s="21" t="s">
        <v>1391</v>
      </c>
    </row>
    <row r="92" spans="1:10" ht="15.75" customHeight="1" x14ac:dyDescent="0.25">
      <c r="A92" s="22" t="s">
        <v>1483</v>
      </c>
      <c r="B92" s="22" t="s">
        <v>482</v>
      </c>
      <c r="C92" s="23" t="s">
        <v>453</v>
      </c>
      <c r="D92" s="24" t="s">
        <v>483</v>
      </c>
      <c r="E92" s="24" t="s">
        <v>486</v>
      </c>
      <c r="F92" s="19"/>
      <c r="G92" s="20" t="s">
        <v>1389</v>
      </c>
      <c r="H92" s="20" t="s">
        <v>1390</v>
      </c>
      <c r="I92" s="19"/>
      <c r="J92" s="21" t="s">
        <v>1391</v>
      </c>
    </row>
    <row r="93" spans="1:10" ht="15.75" customHeight="1" x14ac:dyDescent="0.25">
      <c r="A93" s="16" t="s">
        <v>1484</v>
      </c>
      <c r="B93" s="16" t="s">
        <v>487</v>
      </c>
      <c r="C93" s="17" t="s">
        <v>453</v>
      </c>
      <c r="D93" s="18" t="s">
        <v>488</v>
      </c>
      <c r="E93" s="18" t="s">
        <v>490</v>
      </c>
      <c r="F93" s="19"/>
      <c r="G93" s="20" t="s">
        <v>1389</v>
      </c>
      <c r="H93" s="20" t="s">
        <v>1390</v>
      </c>
      <c r="I93" s="19"/>
      <c r="J93" s="21" t="s">
        <v>1391</v>
      </c>
    </row>
    <row r="94" spans="1:10" ht="15.75" customHeight="1" x14ac:dyDescent="0.25">
      <c r="A94" s="22" t="s">
        <v>1485</v>
      </c>
      <c r="B94" s="22" t="s">
        <v>491</v>
      </c>
      <c r="C94" s="23" t="s">
        <v>453</v>
      </c>
      <c r="D94" s="24" t="s">
        <v>492</v>
      </c>
      <c r="E94" s="24" t="s">
        <v>494</v>
      </c>
      <c r="F94" s="19"/>
      <c r="G94" s="20" t="s">
        <v>1389</v>
      </c>
      <c r="H94" s="20" t="s">
        <v>1390</v>
      </c>
      <c r="I94" s="19"/>
      <c r="J94" s="21" t="s">
        <v>1398</v>
      </c>
    </row>
    <row r="95" spans="1:10" ht="15.75" customHeight="1" x14ac:dyDescent="0.25">
      <c r="A95" s="16" t="s">
        <v>1486</v>
      </c>
      <c r="B95" s="16" t="s">
        <v>495</v>
      </c>
      <c r="C95" s="17" t="s">
        <v>453</v>
      </c>
      <c r="D95" s="18" t="s">
        <v>496</v>
      </c>
      <c r="E95" s="18" t="s">
        <v>498</v>
      </c>
      <c r="F95" s="19"/>
      <c r="G95" s="20" t="s">
        <v>1389</v>
      </c>
      <c r="H95" s="20" t="s">
        <v>1390</v>
      </c>
      <c r="I95" s="19"/>
      <c r="J95" s="21" t="s">
        <v>1398</v>
      </c>
    </row>
    <row r="96" spans="1:10" ht="15.75" customHeight="1" x14ac:dyDescent="0.25">
      <c r="A96" s="22" t="s">
        <v>1487</v>
      </c>
      <c r="B96" s="22" t="s">
        <v>499</v>
      </c>
      <c r="C96" s="23" t="s">
        <v>453</v>
      </c>
      <c r="D96" s="24" t="s">
        <v>500</v>
      </c>
      <c r="E96" s="24" t="s">
        <v>502</v>
      </c>
      <c r="F96" s="19"/>
      <c r="G96" s="20" t="s">
        <v>1389</v>
      </c>
      <c r="H96" s="20" t="s">
        <v>1390</v>
      </c>
      <c r="I96" s="19"/>
      <c r="J96" s="21" t="s">
        <v>1398</v>
      </c>
    </row>
    <row r="97" spans="1:10" ht="15.75" customHeight="1" x14ac:dyDescent="0.25">
      <c r="A97" s="16" t="s">
        <v>1488</v>
      </c>
      <c r="B97" s="16" t="s">
        <v>503</v>
      </c>
      <c r="C97" s="17" t="s">
        <v>453</v>
      </c>
      <c r="D97" s="18" t="s">
        <v>504</v>
      </c>
      <c r="E97" s="18" t="s">
        <v>507</v>
      </c>
      <c r="F97" s="19"/>
      <c r="G97" s="20" t="s">
        <v>1389</v>
      </c>
      <c r="H97" s="20" t="s">
        <v>1390</v>
      </c>
      <c r="I97" s="19"/>
      <c r="J97" s="21" t="s">
        <v>1398</v>
      </c>
    </row>
    <row r="98" spans="1:10" ht="15.75" customHeight="1" x14ac:dyDescent="0.25">
      <c r="A98" s="22" t="s">
        <v>1489</v>
      </c>
      <c r="B98" s="22" t="s">
        <v>508</v>
      </c>
      <c r="C98" s="23" t="s">
        <v>453</v>
      </c>
      <c r="D98" s="24" t="s">
        <v>509</v>
      </c>
      <c r="E98" s="24" t="s">
        <v>415</v>
      </c>
      <c r="F98" s="19"/>
      <c r="G98" s="20" t="s">
        <v>1389</v>
      </c>
      <c r="H98" s="20" t="s">
        <v>1390</v>
      </c>
      <c r="I98" s="19"/>
      <c r="J98" s="21" t="s">
        <v>1391</v>
      </c>
    </row>
    <row r="99" spans="1:10" ht="15.75" customHeight="1" x14ac:dyDescent="0.25">
      <c r="A99" s="16" t="s">
        <v>1490</v>
      </c>
      <c r="B99" s="16" t="s">
        <v>511</v>
      </c>
      <c r="C99" s="17" t="s">
        <v>510</v>
      </c>
      <c r="D99" s="18" t="s">
        <v>61</v>
      </c>
      <c r="E99" s="18" t="s">
        <v>514</v>
      </c>
      <c r="F99" s="19"/>
      <c r="G99" s="20" t="s">
        <v>1389</v>
      </c>
      <c r="H99" s="20" t="s">
        <v>1390</v>
      </c>
      <c r="I99" s="19"/>
      <c r="J99" s="21" t="s">
        <v>1398</v>
      </c>
    </row>
    <row r="100" spans="1:10" ht="15.75" customHeight="1" x14ac:dyDescent="0.25">
      <c r="A100" s="22" t="s">
        <v>1491</v>
      </c>
      <c r="B100" s="22" t="s">
        <v>515</v>
      </c>
      <c r="C100" s="23" t="s">
        <v>510</v>
      </c>
      <c r="D100" s="24" t="s">
        <v>516</v>
      </c>
      <c r="E100" s="24" t="s">
        <v>519</v>
      </c>
      <c r="F100" s="19"/>
      <c r="G100" s="20" t="s">
        <v>1389</v>
      </c>
      <c r="H100" s="20" t="s">
        <v>1390</v>
      </c>
      <c r="I100" s="19"/>
      <c r="J100" s="21" t="s">
        <v>1398</v>
      </c>
    </row>
    <row r="101" spans="1:10" ht="15.75" customHeight="1" x14ac:dyDescent="0.25">
      <c r="A101" s="16" t="s">
        <v>1492</v>
      </c>
      <c r="B101" s="16" t="s">
        <v>520</v>
      </c>
      <c r="C101" s="17" t="s">
        <v>510</v>
      </c>
      <c r="D101" s="18" t="s">
        <v>521</v>
      </c>
      <c r="E101" s="18" t="s">
        <v>523</v>
      </c>
      <c r="F101" s="19"/>
      <c r="G101" s="20" t="s">
        <v>1389</v>
      </c>
      <c r="H101" s="20" t="s">
        <v>1390</v>
      </c>
      <c r="I101" s="19"/>
      <c r="J101" s="21" t="s">
        <v>1391</v>
      </c>
    </row>
    <row r="102" spans="1:10" ht="15.75" customHeight="1" x14ac:dyDescent="0.25">
      <c r="A102" s="22" t="s">
        <v>1493</v>
      </c>
      <c r="B102" s="22" t="s">
        <v>524</v>
      </c>
      <c r="C102" s="23" t="s">
        <v>510</v>
      </c>
      <c r="D102" s="24" t="s">
        <v>525</v>
      </c>
      <c r="E102" s="24" t="s">
        <v>527</v>
      </c>
      <c r="F102" s="19"/>
      <c r="G102" s="20" t="s">
        <v>1389</v>
      </c>
      <c r="H102" s="20" t="s">
        <v>1390</v>
      </c>
      <c r="I102" s="19"/>
      <c r="J102" s="21" t="s">
        <v>1391</v>
      </c>
    </row>
    <row r="103" spans="1:10" ht="15.75" customHeight="1" x14ac:dyDescent="0.25">
      <c r="A103" s="16" t="s">
        <v>1494</v>
      </c>
      <c r="B103" s="16" t="s">
        <v>528</v>
      </c>
      <c r="C103" s="17" t="s">
        <v>510</v>
      </c>
      <c r="D103" s="18" t="s">
        <v>529</v>
      </c>
      <c r="E103" s="18" t="s">
        <v>531</v>
      </c>
      <c r="F103" s="19"/>
      <c r="G103" s="20" t="s">
        <v>1389</v>
      </c>
      <c r="H103" s="20" t="s">
        <v>1390</v>
      </c>
      <c r="I103" s="19"/>
      <c r="J103" s="21" t="s">
        <v>1398</v>
      </c>
    </row>
    <row r="104" spans="1:10" ht="15.75" customHeight="1" x14ac:dyDescent="0.25">
      <c r="A104" s="22" t="s">
        <v>1495</v>
      </c>
      <c r="B104" s="22" t="s">
        <v>532</v>
      </c>
      <c r="C104" s="23" t="s">
        <v>510</v>
      </c>
      <c r="D104" s="24" t="s">
        <v>533</v>
      </c>
      <c r="E104" s="24" t="s">
        <v>536</v>
      </c>
      <c r="F104" s="19"/>
      <c r="G104" s="20" t="s">
        <v>1389</v>
      </c>
      <c r="H104" s="20" t="s">
        <v>1390</v>
      </c>
      <c r="I104" s="19"/>
      <c r="J104" s="21" t="s">
        <v>1398</v>
      </c>
    </row>
    <row r="105" spans="1:10" ht="15.75" customHeight="1" x14ac:dyDescent="0.25">
      <c r="A105" s="16" t="s">
        <v>1496</v>
      </c>
      <c r="B105" s="16" t="s">
        <v>537</v>
      </c>
      <c r="C105" s="17" t="s">
        <v>510</v>
      </c>
      <c r="D105" s="18" t="s">
        <v>538</v>
      </c>
      <c r="E105" s="18" t="s">
        <v>540</v>
      </c>
      <c r="F105" s="19"/>
      <c r="G105" s="20" t="s">
        <v>1389</v>
      </c>
      <c r="H105" s="20" t="s">
        <v>1390</v>
      </c>
      <c r="I105" s="19"/>
      <c r="J105" s="21" t="s">
        <v>1398</v>
      </c>
    </row>
    <row r="106" spans="1:10" ht="15.75" customHeight="1" x14ac:dyDescent="0.25">
      <c r="A106" s="22" t="s">
        <v>1497</v>
      </c>
      <c r="B106" s="22" t="s">
        <v>541</v>
      </c>
      <c r="C106" s="23" t="s">
        <v>510</v>
      </c>
      <c r="D106" s="24" t="s">
        <v>542</v>
      </c>
      <c r="E106" s="24" t="s">
        <v>544</v>
      </c>
      <c r="F106" s="19"/>
      <c r="G106" s="20" t="s">
        <v>1389</v>
      </c>
      <c r="H106" s="20" t="s">
        <v>1390</v>
      </c>
      <c r="I106" s="19"/>
      <c r="J106" s="21" t="s">
        <v>1391</v>
      </c>
    </row>
    <row r="107" spans="1:10" ht="15.75" customHeight="1" x14ac:dyDescent="0.25">
      <c r="A107" s="16" t="s">
        <v>1498</v>
      </c>
      <c r="B107" s="16" t="s">
        <v>545</v>
      </c>
      <c r="C107" s="17" t="s">
        <v>510</v>
      </c>
      <c r="D107" s="18" t="s">
        <v>546</v>
      </c>
      <c r="E107" s="18" t="s">
        <v>549</v>
      </c>
      <c r="F107" s="19"/>
      <c r="G107" s="20" t="s">
        <v>1389</v>
      </c>
      <c r="H107" s="20" t="s">
        <v>1390</v>
      </c>
      <c r="I107" s="19"/>
      <c r="J107" s="21" t="s">
        <v>1391</v>
      </c>
    </row>
    <row r="108" spans="1:10" ht="15.75" customHeight="1" x14ac:dyDescent="0.25">
      <c r="A108" s="22" t="s">
        <v>1499</v>
      </c>
      <c r="B108" s="22" t="s">
        <v>550</v>
      </c>
      <c r="C108" s="23" t="s">
        <v>510</v>
      </c>
      <c r="D108" s="24" t="s">
        <v>551</v>
      </c>
      <c r="E108" s="24" t="s">
        <v>553</v>
      </c>
      <c r="F108" s="19"/>
      <c r="G108" s="20" t="s">
        <v>1389</v>
      </c>
      <c r="H108" s="20" t="s">
        <v>1390</v>
      </c>
      <c r="I108" s="19"/>
      <c r="J108" s="21" t="s">
        <v>1398</v>
      </c>
    </row>
    <row r="109" spans="1:10" ht="15.75" customHeight="1" x14ac:dyDescent="0.25">
      <c r="A109" s="16" t="s">
        <v>1500</v>
      </c>
      <c r="B109" s="16" t="s">
        <v>555</v>
      </c>
      <c r="C109" s="17" t="s">
        <v>554</v>
      </c>
      <c r="D109" s="18" t="s">
        <v>61</v>
      </c>
      <c r="E109" s="18" t="s">
        <v>558</v>
      </c>
      <c r="F109" s="19"/>
      <c r="G109" s="20" t="s">
        <v>1389</v>
      </c>
      <c r="H109" s="20" t="s">
        <v>1390</v>
      </c>
      <c r="I109" s="19"/>
      <c r="J109" s="21" t="s">
        <v>1400</v>
      </c>
    </row>
    <row r="110" spans="1:10" ht="15.75" customHeight="1" x14ac:dyDescent="0.25">
      <c r="A110" s="22" t="s">
        <v>1501</v>
      </c>
      <c r="B110" s="22" t="s">
        <v>559</v>
      </c>
      <c r="C110" s="23" t="s">
        <v>554</v>
      </c>
      <c r="D110" s="24" t="s">
        <v>560</v>
      </c>
      <c r="E110" s="24" t="s">
        <v>562</v>
      </c>
      <c r="F110" s="19"/>
      <c r="G110" s="20" t="s">
        <v>1389</v>
      </c>
      <c r="H110" s="20" t="s">
        <v>1390</v>
      </c>
      <c r="I110" s="19"/>
      <c r="J110" s="21" t="s">
        <v>1400</v>
      </c>
    </row>
    <row r="111" spans="1:10" ht="15.75" customHeight="1" x14ac:dyDescent="0.25">
      <c r="A111" s="16" t="s">
        <v>1502</v>
      </c>
      <c r="B111" s="16" t="s">
        <v>563</v>
      </c>
      <c r="C111" s="17" t="s">
        <v>554</v>
      </c>
      <c r="D111" s="18" t="s">
        <v>564</v>
      </c>
      <c r="E111" s="18" t="s">
        <v>566</v>
      </c>
      <c r="F111" s="19"/>
      <c r="G111" s="20" t="s">
        <v>1389</v>
      </c>
      <c r="H111" s="20" t="s">
        <v>1390</v>
      </c>
      <c r="I111" s="19"/>
      <c r="J111" s="21" t="s">
        <v>1400</v>
      </c>
    </row>
    <row r="112" spans="1:10" ht="15.75" customHeight="1" x14ac:dyDescent="0.25">
      <c r="A112" s="22" t="s">
        <v>1503</v>
      </c>
      <c r="B112" s="22" t="s">
        <v>567</v>
      </c>
      <c r="C112" s="23" t="s">
        <v>554</v>
      </c>
      <c r="D112" s="24" t="s">
        <v>568</v>
      </c>
      <c r="E112" s="24" t="s">
        <v>571</v>
      </c>
      <c r="F112" s="19"/>
      <c r="G112" s="20" t="s">
        <v>1389</v>
      </c>
      <c r="H112" s="20" t="s">
        <v>1390</v>
      </c>
      <c r="I112" s="19"/>
      <c r="J112" s="21" t="s">
        <v>1398</v>
      </c>
    </row>
    <row r="113" spans="1:10" ht="15.75" customHeight="1" x14ac:dyDescent="0.25">
      <c r="A113" s="16" t="s">
        <v>1504</v>
      </c>
      <c r="B113" s="16" t="s">
        <v>572</v>
      </c>
      <c r="C113" s="17" t="s">
        <v>554</v>
      </c>
      <c r="D113" s="18" t="s">
        <v>573</v>
      </c>
      <c r="E113" s="18" t="s">
        <v>576</v>
      </c>
      <c r="F113" s="19"/>
      <c r="G113" s="20" t="s">
        <v>1389</v>
      </c>
      <c r="H113" s="20" t="s">
        <v>1390</v>
      </c>
      <c r="I113" s="19"/>
      <c r="J113" s="21" t="s">
        <v>1398</v>
      </c>
    </row>
    <row r="114" spans="1:10" ht="15.75" customHeight="1" x14ac:dyDescent="0.25">
      <c r="A114" s="22" t="s">
        <v>1505</v>
      </c>
      <c r="B114" s="22" t="s">
        <v>577</v>
      </c>
      <c r="C114" s="23" t="s">
        <v>554</v>
      </c>
      <c r="D114" s="24" t="s">
        <v>578</v>
      </c>
      <c r="E114" s="24" t="s">
        <v>581</v>
      </c>
      <c r="F114" s="19"/>
      <c r="G114" s="20" t="s">
        <v>1389</v>
      </c>
      <c r="H114" s="20" t="s">
        <v>1390</v>
      </c>
      <c r="I114" s="19"/>
      <c r="J114" s="21" t="s">
        <v>1398</v>
      </c>
    </row>
    <row r="115" spans="1:10" ht="15.75" customHeight="1" x14ac:dyDescent="0.25">
      <c r="A115" s="16" t="s">
        <v>1506</v>
      </c>
      <c r="B115" s="16" t="s">
        <v>582</v>
      </c>
      <c r="C115" s="17" t="s">
        <v>554</v>
      </c>
      <c r="D115" s="18" t="s">
        <v>583</v>
      </c>
      <c r="E115" s="18" t="s">
        <v>585</v>
      </c>
      <c r="F115" s="19"/>
      <c r="G115" s="20" t="s">
        <v>1389</v>
      </c>
      <c r="H115" s="20" t="s">
        <v>1390</v>
      </c>
      <c r="I115" s="19"/>
      <c r="J115" s="21" t="s">
        <v>1400</v>
      </c>
    </row>
    <row r="116" spans="1:10" ht="15.75" customHeight="1" x14ac:dyDescent="0.25">
      <c r="A116" s="22" t="s">
        <v>1507</v>
      </c>
      <c r="B116" s="22" t="s">
        <v>587</v>
      </c>
      <c r="C116" s="23" t="s">
        <v>586</v>
      </c>
      <c r="D116" s="24" t="s">
        <v>61</v>
      </c>
      <c r="E116" s="24" t="s">
        <v>590</v>
      </c>
      <c r="F116" s="19"/>
      <c r="G116" s="20" t="s">
        <v>1389</v>
      </c>
      <c r="H116" s="20" t="s">
        <v>1390</v>
      </c>
      <c r="I116" s="19"/>
      <c r="J116" s="21" t="s">
        <v>1400</v>
      </c>
    </row>
    <row r="117" spans="1:10" ht="15.75" customHeight="1" x14ac:dyDescent="0.25">
      <c r="A117" s="16" t="s">
        <v>1508</v>
      </c>
      <c r="B117" s="16" t="s">
        <v>591</v>
      </c>
      <c r="C117" s="17" t="s">
        <v>586</v>
      </c>
      <c r="D117" s="18" t="s">
        <v>592</v>
      </c>
      <c r="E117" s="18" t="s">
        <v>595</v>
      </c>
      <c r="F117" s="19"/>
      <c r="G117" s="20" t="s">
        <v>1389</v>
      </c>
      <c r="H117" s="20" t="s">
        <v>1390</v>
      </c>
      <c r="I117" s="19"/>
      <c r="J117" s="21" t="s">
        <v>1398</v>
      </c>
    </row>
    <row r="118" spans="1:10" ht="15.75" customHeight="1" x14ac:dyDescent="0.25">
      <c r="A118" s="22" t="s">
        <v>1509</v>
      </c>
      <c r="B118" s="22" t="s">
        <v>596</v>
      </c>
      <c r="C118" s="23" t="s">
        <v>586</v>
      </c>
      <c r="D118" s="24" t="s">
        <v>597</v>
      </c>
      <c r="E118" s="24" t="s">
        <v>599</v>
      </c>
      <c r="F118" s="19"/>
      <c r="G118" s="20" t="s">
        <v>1389</v>
      </c>
      <c r="H118" s="20" t="s">
        <v>1390</v>
      </c>
      <c r="I118" s="19"/>
      <c r="J118" s="21" t="s">
        <v>1398</v>
      </c>
    </row>
    <row r="119" spans="1:10" ht="15.75" customHeight="1" x14ac:dyDescent="0.25">
      <c r="A119" s="16" t="s">
        <v>1510</v>
      </c>
      <c r="B119" s="16" t="s">
        <v>600</v>
      </c>
      <c r="C119" s="17" t="s">
        <v>586</v>
      </c>
      <c r="D119" s="18" t="s">
        <v>601</v>
      </c>
      <c r="E119" s="18" t="s">
        <v>604</v>
      </c>
      <c r="F119" s="19"/>
      <c r="G119" s="20" t="s">
        <v>1389</v>
      </c>
      <c r="H119" s="20" t="s">
        <v>1390</v>
      </c>
      <c r="I119" s="19"/>
      <c r="J119" s="21" t="s">
        <v>1398</v>
      </c>
    </row>
    <row r="120" spans="1:10" ht="15.75" customHeight="1" x14ac:dyDescent="0.25">
      <c r="A120" s="22" t="s">
        <v>1511</v>
      </c>
      <c r="B120" s="22" t="s">
        <v>605</v>
      </c>
      <c r="C120" s="23" t="s">
        <v>586</v>
      </c>
      <c r="D120" s="24" t="s">
        <v>606</v>
      </c>
      <c r="E120" s="24" t="s">
        <v>608</v>
      </c>
      <c r="F120" s="19"/>
      <c r="G120" s="20" t="s">
        <v>1389</v>
      </c>
      <c r="H120" s="20" t="s">
        <v>1390</v>
      </c>
      <c r="I120" s="19"/>
      <c r="J120" s="21" t="s">
        <v>1391</v>
      </c>
    </row>
    <row r="121" spans="1:10" ht="15.75" customHeight="1" x14ac:dyDescent="0.25">
      <c r="A121" s="16" t="s">
        <v>1512</v>
      </c>
      <c r="B121" s="16" t="s">
        <v>609</v>
      </c>
      <c r="C121" s="17" t="s">
        <v>586</v>
      </c>
      <c r="D121" s="18" t="s">
        <v>610</v>
      </c>
      <c r="E121" s="18" t="s">
        <v>613</v>
      </c>
      <c r="F121" s="19"/>
      <c r="G121" s="20" t="s">
        <v>1389</v>
      </c>
      <c r="H121" s="20" t="s">
        <v>1390</v>
      </c>
      <c r="I121" s="19"/>
      <c r="J121" s="21" t="s">
        <v>1391</v>
      </c>
    </row>
    <row r="122" spans="1:10" ht="15.75" customHeight="1" x14ac:dyDescent="0.25">
      <c r="A122" s="22" t="s">
        <v>1513</v>
      </c>
      <c r="B122" s="22" t="s">
        <v>614</v>
      </c>
      <c r="C122" s="23" t="s">
        <v>586</v>
      </c>
      <c r="D122" s="24" t="s">
        <v>615</v>
      </c>
      <c r="E122" s="24" t="s">
        <v>618</v>
      </c>
      <c r="F122" s="19"/>
      <c r="G122" s="20" t="s">
        <v>1389</v>
      </c>
      <c r="H122" s="20" t="s">
        <v>1390</v>
      </c>
      <c r="I122" s="19"/>
      <c r="J122" s="21" t="s">
        <v>1398</v>
      </c>
    </row>
    <row r="123" spans="1:10" ht="15.75" customHeight="1" x14ac:dyDescent="0.25">
      <c r="A123" s="16" t="s">
        <v>1514</v>
      </c>
      <c r="B123" s="16" t="s">
        <v>619</v>
      </c>
      <c r="C123" s="17" t="s">
        <v>586</v>
      </c>
      <c r="D123" s="18" t="s">
        <v>620</v>
      </c>
      <c r="E123" s="18" t="s">
        <v>622</v>
      </c>
      <c r="F123" s="19"/>
      <c r="G123" s="20" t="s">
        <v>1389</v>
      </c>
      <c r="H123" s="20" t="s">
        <v>1390</v>
      </c>
      <c r="I123" s="19"/>
      <c r="J123" s="21" t="s">
        <v>1398</v>
      </c>
    </row>
    <row r="124" spans="1:10" ht="15.75" customHeight="1" x14ac:dyDescent="0.25">
      <c r="A124" s="22" t="s">
        <v>1515</v>
      </c>
      <c r="B124" s="22" t="s">
        <v>624</v>
      </c>
      <c r="C124" s="23" t="s">
        <v>623</v>
      </c>
      <c r="D124" s="24" t="s">
        <v>61</v>
      </c>
      <c r="E124" s="24" t="s">
        <v>627</v>
      </c>
      <c r="F124" s="19"/>
      <c r="G124" s="20" t="s">
        <v>1389</v>
      </c>
      <c r="H124" s="20" t="s">
        <v>1390</v>
      </c>
      <c r="I124" s="19"/>
      <c r="J124" s="21" t="s">
        <v>1400</v>
      </c>
    </row>
    <row r="125" spans="1:10" ht="15.75" customHeight="1" x14ac:dyDescent="0.25">
      <c r="A125" s="16" t="s">
        <v>1516</v>
      </c>
      <c r="B125" s="16" t="s">
        <v>628</v>
      </c>
      <c r="C125" s="17" t="s">
        <v>623</v>
      </c>
      <c r="D125" s="18" t="s">
        <v>629</v>
      </c>
      <c r="E125" s="18" t="s">
        <v>631</v>
      </c>
      <c r="F125" s="19"/>
      <c r="G125" s="20" t="s">
        <v>1389</v>
      </c>
      <c r="H125" s="20" t="s">
        <v>1390</v>
      </c>
      <c r="I125" s="19"/>
      <c r="J125" s="21" t="s">
        <v>1398</v>
      </c>
    </row>
    <row r="126" spans="1:10" ht="15.75" customHeight="1" x14ac:dyDescent="0.25">
      <c r="A126" s="22" t="s">
        <v>1517</v>
      </c>
      <c r="B126" s="22" t="s">
        <v>632</v>
      </c>
      <c r="C126" s="23" t="s">
        <v>623</v>
      </c>
      <c r="D126" s="24" t="s">
        <v>633</v>
      </c>
      <c r="E126" s="24" t="s">
        <v>635</v>
      </c>
      <c r="F126" s="19"/>
      <c r="G126" s="20" t="s">
        <v>1389</v>
      </c>
      <c r="H126" s="20" t="s">
        <v>1390</v>
      </c>
      <c r="I126" s="19"/>
      <c r="J126" s="21" t="s">
        <v>1398</v>
      </c>
    </row>
    <row r="127" spans="1:10" ht="15.75" customHeight="1" x14ac:dyDescent="0.25">
      <c r="A127" s="16" t="s">
        <v>1518</v>
      </c>
      <c r="B127" s="16" t="s">
        <v>636</v>
      </c>
      <c r="C127" s="17" t="s">
        <v>623</v>
      </c>
      <c r="D127" s="18" t="s">
        <v>637</v>
      </c>
      <c r="E127" s="18" t="s">
        <v>639</v>
      </c>
      <c r="F127" s="19"/>
      <c r="G127" s="20" t="s">
        <v>1389</v>
      </c>
      <c r="H127" s="20" t="s">
        <v>1390</v>
      </c>
      <c r="I127" s="19"/>
      <c r="J127" s="21" t="s">
        <v>1398</v>
      </c>
    </row>
    <row r="128" spans="1:10" ht="15.75" customHeight="1" x14ac:dyDescent="0.25">
      <c r="A128" s="22" t="s">
        <v>1519</v>
      </c>
      <c r="B128" s="22" t="s">
        <v>640</v>
      </c>
      <c r="C128" s="23" t="s">
        <v>623</v>
      </c>
      <c r="D128" s="24" t="s">
        <v>641</v>
      </c>
      <c r="E128" s="24" t="s">
        <v>643</v>
      </c>
      <c r="F128" s="19"/>
      <c r="G128" s="20" t="s">
        <v>1389</v>
      </c>
      <c r="H128" s="20" t="s">
        <v>1390</v>
      </c>
      <c r="I128" s="19"/>
      <c r="J128" s="21" t="s">
        <v>1398</v>
      </c>
    </row>
    <row r="129" spans="1:10" ht="15.75" customHeight="1" x14ac:dyDescent="0.25">
      <c r="A129" s="16" t="s">
        <v>1520</v>
      </c>
      <c r="B129" s="16" t="s">
        <v>644</v>
      </c>
      <c r="C129" s="17" t="s">
        <v>623</v>
      </c>
      <c r="D129" s="18" t="s">
        <v>645</v>
      </c>
      <c r="E129" s="18" t="s">
        <v>647</v>
      </c>
      <c r="F129" s="19"/>
      <c r="G129" s="20" t="s">
        <v>1389</v>
      </c>
      <c r="H129" s="20" t="s">
        <v>1390</v>
      </c>
      <c r="I129" s="19"/>
      <c r="J129" s="21" t="s">
        <v>1398</v>
      </c>
    </row>
    <row r="130" spans="1:10" ht="15.75" customHeight="1" x14ac:dyDescent="0.25">
      <c r="A130" s="22" t="s">
        <v>1521</v>
      </c>
      <c r="B130" s="22" t="s">
        <v>648</v>
      </c>
      <c r="C130" s="23" t="s">
        <v>623</v>
      </c>
      <c r="D130" s="24" t="s">
        <v>649</v>
      </c>
      <c r="E130" s="24" t="s">
        <v>651</v>
      </c>
      <c r="F130" s="19"/>
      <c r="G130" s="20" t="s">
        <v>1389</v>
      </c>
      <c r="H130" s="20" t="s">
        <v>1390</v>
      </c>
      <c r="I130" s="19"/>
      <c r="J130" s="21" t="s">
        <v>1398</v>
      </c>
    </row>
    <row r="131" spans="1:10" ht="15.75" customHeight="1" x14ac:dyDescent="0.25">
      <c r="A131" s="16" t="s">
        <v>1522</v>
      </c>
      <c r="B131" s="16" t="s">
        <v>652</v>
      </c>
      <c r="C131" s="17" t="s">
        <v>623</v>
      </c>
      <c r="D131" s="18" t="s">
        <v>653</v>
      </c>
      <c r="E131" s="18" t="s">
        <v>655</v>
      </c>
      <c r="F131" s="19"/>
      <c r="G131" s="20" t="s">
        <v>1389</v>
      </c>
      <c r="H131" s="20" t="s">
        <v>1390</v>
      </c>
      <c r="I131" s="19"/>
      <c r="J131" s="21" t="s">
        <v>1398</v>
      </c>
    </row>
    <row r="132" spans="1:10" ht="15.75" customHeight="1" x14ac:dyDescent="0.25">
      <c r="A132" s="22" t="s">
        <v>1523</v>
      </c>
      <c r="B132" s="22" t="s">
        <v>656</v>
      </c>
      <c r="C132" s="23" t="s">
        <v>623</v>
      </c>
      <c r="D132" s="24" t="s">
        <v>657</v>
      </c>
      <c r="E132" s="24" t="s">
        <v>660</v>
      </c>
      <c r="F132" s="19"/>
      <c r="G132" s="20" t="s">
        <v>1389</v>
      </c>
      <c r="H132" s="20" t="s">
        <v>1390</v>
      </c>
      <c r="I132" s="19"/>
      <c r="J132" s="21" t="s">
        <v>1398</v>
      </c>
    </row>
    <row r="133" spans="1:10" ht="15.75" customHeight="1" x14ac:dyDescent="0.25">
      <c r="A133" s="16" t="s">
        <v>1524</v>
      </c>
      <c r="B133" s="16" t="s">
        <v>661</v>
      </c>
      <c r="C133" s="17" t="s">
        <v>623</v>
      </c>
      <c r="D133" s="18" t="s">
        <v>662</v>
      </c>
      <c r="E133" s="18" t="s">
        <v>664</v>
      </c>
      <c r="F133" s="19"/>
      <c r="G133" s="20" t="s">
        <v>1389</v>
      </c>
      <c r="H133" s="20" t="s">
        <v>1390</v>
      </c>
      <c r="I133" s="19"/>
      <c r="J133" s="21" t="s">
        <v>1398</v>
      </c>
    </row>
    <row r="134" spans="1:10" ht="15.75" customHeight="1" x14ac:dyDescent="0.25">
      <c r="A134" s="22" t="s">
        <v>1525</v>
      </c>
      <c r="B134" s="22" t="s">
        <v>665</v>
      </c>
      <c r="C134" s="23" t="s">
        <v>623</v>
      </c>
      <c r="D134" s="24" t="s">
        <v>666</v>
      </c>
      <c r="E134" s="24" t="s">
        <v>668</v>
      </c>
      <c r="F134" s="19"/>
      <c r="G134" s="20" t="s">
        <v>1389</v>
      </c>
      <c r="H134" s="20" t="s">
        <v>1390</v>
      </c>
      <c r="I134" s="19"/>
      <c r="J134" s="21" t="s">
        <v>1398</v>
      </c>
    </row>
    <row r="135" spans="1:10" ht="15.75" customHeight="1" x14ac:dyDescent="0.25">
      <c r="A135" s="16" t="s">
        <v>1526</v>
      </c>
      <c r="B135" s="16" t="s">
        <v>669</v>
      </c>
      <c r="C135" s="17" t="s">
        <v>623</v>
      </c>
      <c r="D135" s="18" t="s">
        <v>670</v>
      </c>
      <c r="E135" s="18" t="s">
        <v>672</v>
      </c>
      <c r="F135" s="19"/>
      <c r="G135" s="20" t="s">
        <v>1389</v>
      </c>
      <c r="H135" s="20" t="s">
        <v>1390</v>
      </c>
      <c r="I135" s="19"/>
      <c r="J135" s="21" t="s">
        <v>1400</v>
      </c>
    </row>
    <row r="136" spans="1:10" ht="15.75" customHeight="1" x14ac:dyDescent="0.25">
      <c r="A136" s="22" t="s">
        <v>1527</v>
      </c>
      <c r="B136" s="22" t="s">
        <v>673</v>
      </c>
      <c r="C136" s="23" t="s">
        <v>623</v>
      </c>
      <c r="D136" s="24" t="s">
        <v>674</v>
      </c>
      <c r="E136" s="24" t="s">
        <v>676</v>
      </c>
      <c r="F136" s="19"/>
      <c r="G136" s="20" t="s">
        <v>1389</v>
      </c>
      <c r="H136" s="20" t="s">
        <v>1390</v>
      </c>
      <c r="I136" s="19"/>
      <c r="J136" s="21" t="s">
        <v>1398</v>
      </c>
    </row>
    <row r="137" spans="1:10" ht="15.75" customHeight="1" x14ac:dyDescent="0.25">
      <c r="A137" s="16" t="s">
        <v>1528</v>
      </c>
      <c r="B137" s="16" t="s">
        <v>677</v>
      </c>
      <c r="C137" s="17" t="s">
        <v>623</v>
      </c>
      <c r="D137" s="18" t="s">
        <v>678</v>
      </c>
      <c r="E137" s="18" t="s">
        <v>680</v>
      </c>
      <c r="F137" s="19"/>
      <c r="G137" s="20" t="s">
        <v>1389</v>
      </c>
      <c r="H137" s="20" t="s">
        <v>1390</v>
      </c>
      <c r="I137" s="19"/>
      <c r="J137" s="21" t="s">
        <v>1398</v>
      </c>
    </row>
    <row r="138" spans="1:10" ht="15.75" customHeight="1" x14ac:dyDescent="0.25">
      <c r="A138" s="22" t="s">
        <v>1529</v>
      </c>
      <c r="B138" s="22" t="s">
        <v>681</v>
      </c>
      <c r="C138" s="23" t="s">
        <v>623</v>
      </c>
      <c r="D138" s="24" t="s">
        <v>682</v>
      </c>
      <c r="E138" s="24" t="s">
        <v>684</v>
      </c>
      <c r="F138" s="19"/>
      <c r="G138" s="20" t="s">
        <v>1389</v>
      </c>
      <c r="H138" s="20" t="s">
        <v>1390</v>
      </c>
      <c r="I138" s="19"/>
      <c r="J138" s="21" t="s">
        <v>1398</v>
      </c>
    </row>
    <row r="139" spans="1:10" ht="15.75" customHeight="1" x14ac:dyDescent="0.25">
      <c r="A139" s="16" t="s">
        <v>1530</v>
      </c>
      <c r="B139" s="16" t="s">
        <v>685</v>
      </c>
      <c r="C139" s="17" t="s">
        <v>623</v>
      </c>
      <c r="D139" s="18" t="s">
        <v>686</v>
      </c>
      <c r="E139" s="18" t="s">
        <v>688</v>
      </c>
      <c r="F139" s="19"/>
      <c r="G139" s="20" t="s">
        <v>1389</v>
      </c>
      <c r="H139" s="20" t="s">
        <v>1390</v>
      </c>
      <c r="I139" s="19"/>
      <c r="J139" s="21" t="s">
        <v>1398</v>
      </c>
    </row>
    <row r="140" spans="1:10" ht="15.75" customHeight="1" x14ac:dyDescent="0.25">
      <c r="A140" s="22" t="s">
        <v>1531</v>
      </c>
      <c r="B140" s="22" t="s">
        <v>689</v>
      </c>
      <c r="C140" s="23" t="s">
        <v>623</v>
      </c>
      <c r="D140" s="24" t="s">
        <v>690</v>
      </c>
      <c r="E140" s="24" t="s">
        <v>693</v>
      </c>
      <c r="F140" s="19"/>
      <c r="G140" s="20" t="s">
        <v>1389</v>
      </c>
      <c r="H140" s="20" t="s">
        <v>1390</v>
      </c>
      <c r="I140" s="19"/>
      <c r="J140" s="21" t="s">
        <v>1398</v>
      </c>
    </row>
    <row r="141" spans="1:10" ht="15.75" customHeight="1" x14ac:dyDescent="0.25">
      <c r="A141" s="16" t="s">
        <v>1532</v>
      </c>
      <c r="B141" s="16" t="s">
        <v>694</v>
      </c>
      <c r="C141" s="17" t="s">
        <v>623</v>
      </c>
      <c r="D141" s="18" t="s">
        <v>695</v>
      </c>
      <c r="E141" s="18" t="s">
        <v>697</v>
      </c>
      <c r="F141" s="19"/>
      <c r="G141" s="20" t="s">
        <v>1389</v>
      </c>
      <c r="H141" s="20" t="s">
        <v>1390</v>
      </c>
      <c r="I141" s="19"/>
      <c r="J141" s="21" t="s">
        <v>1400</v>
      </c>
    </row>
    <row r="142" spans="1:10" ht="15.75" customHeight="1" x14ac:dyDescent="0.25">
      <c r="A142" s="22" t="s">
        <v>1533</v>
      </c>
      <c r="B142" s="22" t="s">
        <v>698</v>
      </c>
      <c r="C142" s="23" t="s">
        <v>623</v>
      </c>
      <c r="D142" s="24" t="s">
        <v>699</v>
      </c>
      <c r="E142" s="24" t="s">
        <v>701</v>
      </c>
      <c r="F142" s="19"/>
      <c r="G142" s="20" t="s">
        <v>1389</v>
      </c>
      <c r="H142" s="20" t="s">
        <v>1390</v>
      </c>
      <c r="I142" s="19"/>
      <c r="J142" s="21" t="s">
        <v>1398</v>
      </c>
    </row>
    <row r="143" spans="1:10" ht="15.75" customHeight="1" x14ac:dyDescent="0.25">
      <c r="A143" s="16" t="s">
        <v>1534</v>
      </c>
      <c r="B143" s="16" t="s">
        <v>702</v>
      </c>
      <c r="C143" s="17" t="s">
        <v>623</v>
      </c>
      <c r="D143" s="18" t="s">
        <v>703</v>
      </c>
      <c r="E143" s="18" t="s">
        <v>705</v>
      </c>
      <c r="F143" s="19"/>
      <c r="G143" s="20" t="s">
        <v>1389</v>
      </c>
      <c r="H143" s="20" t="s">
        <v>1390</v>
      </c>
      <c r="I143" s="19"/>
      <c r="J143" s="21" t="s">
        <v>1400</v>
      </c>
    </row>
    <row r="144" spans="1:10" ht="15.75" customHeight="1" x14ac:dyDescent="0.25">
      <c r="A144" s="22" t="s">
        <v>1535</v>
      </c>
      <c r="B144" s="22" t="s">
        <v>706</v>
      </c>
      <c r="C144" s="23" t="s">
        <v>623</v>
      </c>
      <c r="D144" s="24" t="s">
        <v>707</v>
      </c>
      <c r="E144" s="24" t="s">
        <v>709</v>
      </c>
      <c r="F144" s="19"/>
      <c r="G144" s="20" t="s">
        <v>1389</v>
      </c>
      <c r="H144" s="20" t="s">
        <v>1390</v>
      </c>
      <c r="I144" s="19"/>
      <c r="J144" s="21" t="s">
        <v>1400</v>
      </c>
    </row>
    <row r="145" spans="1:10" ht="15.75" customHeight="1" x14ac:dyDescent="0.25">
      <c r="A145" s="16" t="s">
        <v>1536</v>
      </c>
      <c r="B145" s="16" t="s">
        <v>710</v>
      </c>
      <c r="C145" s="17" t="s">
        <v>623</v>
      </c>
      <c r="D145" s="18" t="s">
        <v>711</v>
      </c>
      <c r="E145" s="18" t="s">
        <v>713</v>
      </c>
      <c r="F145" s="19"/>
      <c r="G145" s="20" t="s">
        <v>1389</v>
      </c>
      <c r="H145" s="20" t="s">
        <v>1390</v>
      </c>
      <c r="I145" s="19"/>
      <c r="J145" s="21" t="s">
        <v>1400</v>
      </c>
    </row>
    <row r="146" spans="1:10" ht="15.75" customHeight="1" x14ac:dyDescent="0.25">
      <c r="A146" s="22" t="s">
        <v>1537</v>
      </c>
      <c r="B146" s="22" t="s">
        <v>714</v>
      </c>
      <c r="C146" s="23" t="s">
        <v>623</v>
      </c>
      <c r="D146" s="24" t="s">
        <v>715</v>
      </c>
      <c r="E146" s="24" t="s">
        <v>717</v>
      </c>
      <c r="F146" s="19"/>
      <c r="G146" s="20" t="s">
        <v>1389</v>
      </c>
      <c r="H146" s="20" t="s">
        <v>1390</v>
      </c>
      <c r="I146" s="19"/>
      <c r="J146" s="21" t="s">
        <v>1400</v>
      </c>
    </row>
    <row r="147" spans="1:10" ht="15.75" customHeight="1" x14ac:dyDescent="0.25">
      <c r="A147" s="16" t="s">
        <v>1538</v>
      </c>
      <c r="B147" s="16" t="s">
        <v>719</v>
      </c>
      <c r="C147" s="17" t="s">
        <v>718</v>
      </c>
      <c r="D147" s="18" t="s">
        <v>61</v>
      </c>
      <c r="E147" s="18" t="s">
        <v>722</v>
      </c>
      <c r="F147" s="19"/>
      <c r="G147" s="20" t="s">
        <v>1389</v>
      </c>
      <c r="H147" s="20" t="s">
        <v>1390</v>
      </c>
      <c r="I147" s="19"/>
      <c r="J147" s="21" t="s">
        <v>1398</v>
      </c>
    </row>
    <row r="148" spans="1:10" ht="15.75" customHeight="1" x14ac:dyDescent="0.25">
      <c r="A148" s="22" t="s">
        <v>1539</v>
      </c>
      <c r="B148" s="22" t="s">
        <v>723</v>
      </c>
      <c r="C148" s="23" t="s">
        <v>718</v>
      </c>
      <c r="D148" s="24" t="s">
        <v>724</v>
      </c>
      <c r="E148" s="24" t="s">
        <v>727</v>
      </c>
      <c r="F148" s="19"/>
      <c r="G148" s="20" t="s">
        <v>1389</v>
      </c>
      <c r="H148" s="20" t="s">
        <v>1390</v>
      </c>
      <c r="I148" s="19"/>
      <c r="J148" s="21" t="s">
        <v>1391</v>
      </c>
    </row>
    <row r="149" spans="1:10" ht="15.75" customHeight="1" x14ac:dyDescent="0.25">
      <c r="A149" s="16" t="s">
        <v>1540</v>
      </c>
      <c r="B149" s="16" t="s">
        <v>728</v>
      </c>
      <c r="C149" s="17" t="s">
        <v>718</v>
      </c>
      <c r="D149" s="18" t="s">
        <v>729</v>
      </c>
      <c r="E149" s="18" t="s">
        <v>415</v>
      </c>
      <c r="F149" s="19"/>
      <c r="G149" s="20" t="s">
        <v>1389</v>
      </c>
      <c r="H149" s="20" t="s">
        <v>1390</v>
      </c>
      <c r="I149" s="19"/>
      <c r="J149" s="21" t="s">
        <v>1398</v>
      </c>
    </row>
    <row r="150" spans="1:10" ht="15.75" customHeight="1" x14ac:dyDescent="0.25">
      <c r="A150" s="22" t="s">
        <v>1541</v>
      </c>
      <c r="B150" s="22" t="s">
        <v>730</v>
      </c>
      <c r="C150" s="23" t="s">
        <v>718</v>
      </c>
      <c r="D150" s="24" t="s">
        <v>731</v>
      </c>
      <c r="E150" s="24" t="s">
        <v>733</v>
      </c>
      <c r="F150" s="19"/>
      <c r="G150" s="20" t="s">
        <v>1389</v>
      </c>
      <c r="H150" s="20" t="s">
        <v>1390</v>
      </c>
      <c r="I150" s="19"/>
      <c r="J150" s="21" t="s">
        <v>1398</v>
      </c>
    </row>
    <row r="151" spans="1:10" ht="15.75" customHeight="1" x14ac:dyDescent="0.25">
      <c r="A151" s="16" t="s">
        <v>1542</v>
      </c>
      <c r="B151" s="16" t="s">
        <v>734</v>
      </c>
      <c r="C151" s="17" t="s">
        <v>718</v>
      </c>
      <c r="D151" s="18" t="s">
        <v>735</v>
      </c>
      <c r="E151" s="18" t="s">
        <v>415</v>
      </c>
      <c r="F151" s="19"/>
      <c r="G151" s="20" t="s">
        <v>1389</v>
      </c>
      <c r="H151" s="20" t="s">
        <v>1390</v>
      </c>
      <c r="I151" s="19"/>
      <c r="J151" s="21" t="s">
        <v>1398</v>
      </c>
    </row>
    <row r="152" spans="1:10" ht="15.75" customHeight="1" x14ac:dyDescent="0.25">
      <c r="A152" s="22" t="s">
        <v>1543</v>
      </c>
      <c r="B152" s="22" t="s">
        <v>736</v>
      </c>
      <c r="C152" s="23" t="s">
        <v>718</v>
      </c>
      <c r="D152" s="24" t="s">
        <v>737</v>
      </c>
      <c r="E152" s="24" t="s">
        <v>415</v>
      </c>
      <c r="F152" s="19"/>
      <c r="G152" s="20" t="s">
        <v>1389</v>
      </c>
      <c r="H152" s="20" t="s">
        <v>1390</v>
      </c>
      <c r="I152" s="19"/>
      <c r="J152" s="21" t="s">
        <v>1398</v>
      </c>
    </row>
    <row r="153" spans="1:10" ht="15.75" customHeight="1" x14ac:dyDescent="0.25">
      <c r="A153" s="16" t="s">
        <v>1544</v>
      </c>
      <c r="B153" s="16" t="s">
        <v>738</v>
      </c>
      <c r="C153" s="17" t="s">
        <v>718</v>
      </c>
      <c r="D153" s="18" t="s">
        <v>739</v>
      </c>
      <c r="E153" s="18" t="s">
        <v>741</v>
      </c>
      <c r="F153" s="19"/>
      <c r="G153" s="20" t="s">
        <v>1389</v>
      </c>
      <c r="H153" s="20" t="s">
        <v>1390</v>
      </c>
      <c r="I153" s="19"/>
      <c r="J153" s="21" t="s">
        <v>1398</v>
      </c>
    </row>
    <row r="154" spans="1:10" ht="15.75" customHeight="1" x14ac:dyDescent="0.25">
      <c r="A154" s="22" t="s">
        <v>1545</v>
      </c>
      <c r="B154" s="22" t="s">
        <v>742</v>
      </c>
      <c r="C154" s="23" t="s">
        <v>718</v>
      </c>
      <c r="D154" s="24" t="s">
        <v>743</v>
      </c>
      <c r="E154" s="24" t="s">
        <v>746</v>
      </c>
      <c r="F154" s="19"/>
      <c r="G154" s="20" t="s">
        <v>1389</v>
      </c>
      <c r="H154" s="20" t="s">
        <v>1390</v>
      </c>
      <c r="I154" s="19"/>
      <c r="J154" s="21" t="s">
        <v>1391</v>
      </c>
    </row>
    <row r="155" spans="1:10" ht="15.75" customHeight="1" x14ac:dyDescent="0.25">
      <c r="A155" s="16" t="s">
        <v>1546</v>
      </c>
      <c r="B155" s="16" t="s">
        <v>747</v>
      </c>
      <c r="C155" s="17" t="s">
        <v>718</v>
      </c>
      <c r="D155" s="18" t="s">
        <v>748</v>
      </c>
      <c r="E155" s="18" t="s">
        <v>751</v>
      </c>
      <c r="F155" s="19"/>
      <c r="G155" s="20" t="s">
        <v>1389</v>
      </c>
      <c r="H155" s="20" t="s">
        <v>1390</v>
      </c>
      <c r="I155" s="19"/>
      <c r="J155" s="21" t="s">
        <v>1398</v>
      </c>
    </row>
    <row r="156" spans="1:10" ht="15.75" customHeight="1" x14ac:dyDescent="0.25">
      <c r="A156" s="22" t="s">
        <v>1547</v>
      </c>
      <c r="B156" s="22" t="s">
        <v>752</v>
      </c>
      <c r="C156" s="23" t="s">
        <v>718</v>
      </c>
      <c r="D156" s="24" t="s">
        <v>753</v>
      </c>
      <c r="E156" s="24" t="s">
        <v>756</v>
      </c>
      <c r="F156" s="19"/>
      <c r="G156" s="20" t="s">
        <v>1389</v>
      </c>
      <c r="H156" s="20" t="s">
        <v>1390</v>
      </c>
      <c r="I156" s="19"/>
      <c r="J156" s="21" t="s">
        <v>1398</v>
      </c>
    </row>
    <row r="157" spans="1:10" ht="15.75" customHeight="1" x14ac:dyDescent="0.25">
      <c r="A157" s="16" t="s">
        <v>1548</v>
      </c>
      <c r="B157" s="16" t="s">
        <v>757</v>
      </c>
      <c r="C157" s="17" t="s">
        <v>718</v>
      </c>
      <c r="D157" s="18" t="s">
        <v>758</v>
      </c>
      <c r="E157" s="18" t="s">
        <v>760</v>
      </c>
      <c r="F157" s="19"/>
      <c r="G157" s="20" t="s">
        <v>1389</v>
      </c>
      <c r="H157" s="20" t="s">
        <v>1390</v>
      </c>
      <c r="I157" s="19"/>
      <c r="J157" s="21" t="s">
        <v>1398</v>
      </c>
    </row>
    <row r="158" spans="1:10" ht="15.75" customHeight="1" x14ac:dyDescent="0.25">
      <c r="A158" s="22" t="s">
        <v>1549</v>
      </c>
      <c r="B158" s="22" t="s">
        <v>762</v>
      </c>
      <c r="C158" s="23" t="s">
        <v>761</v>
      </c>
      <c r="D158" s="24" t="s">
        <v>763</v>
      </c>
      <c r="E158" s="24" t="s">
        <v>766</v>
      </c>
      <c r="F158" s="19"/>
      <c r="G158" s="20" t="s">
        <v>1389</v>
      </c>
      <c r="H158" s="20" t="s">
        <v>1390</v>
      </c>
      <c r="I158" s="19"/>
      <c r="J158" s="21" t="s">
        <v>1398</v>
      </c>
    </row>
    <row r="159" spans="1:10" ht="15.75" customHeight="1" x14ac:dyDescent="0.25">
      <c r="A159" s="16" t="s">
        <v>1550</v>
      </c>
      <c r="B159" s="16" t="s">
        <v>767</v>
      </c>
      <c r="C159" s="17" t="s">
        <v>761</v>
      </c>
      <c r="D159" s="18" t="s">
        <v>768</v>
      </c>
      <c r="E159" s="18" t="s">
        <v>770</v>
      </c>
      <c r="F159" s="19"/>
      <c r="G159" s="20" t="s">
        <v>1389</v>
      </c>
      <c r="H159" s="20" t="s">
        <v>1390</v>
      </c>
      <c r="I159" s="19"/>
      <c r="J159" s="21" t="s">
        <v>1398</v>
      </c>
    </row>
    <row r="160" spans="1:10" ht="15.75" customHeight="1" x14ac:dyDescent="0.25">
      <c r="A160" s="22" t="s">
        <v>1551</v>
      </c>
      <c r="B160" s="22" t="s">
        <v>771</v>
      </c>
      <c r="C160" s="23" t="s">
        <v>761</v>
      </c>
      <c r="D160" s="24" t="s">
        <v>772</v>
      </c>
      <c r="E160" s="24" t="s">
        <v>774</v>
      </c>
      <c r="F160" s="19"/>
      <c r="G160" s="20" t="s">
        <v>1389</v>
      </c>
      <c r="H160" s="20" t="s">
        <v>1390</v>
      </c>
      <c r="I160" s="19"/>
      <c r="J160" s="21" t="s">
        <v>1398</v>
      </c>
    </row>
    <row r="161" spans="1:10" ht="15.75" customHeight="1" x14ac:dyDescent="0.25">
      <c r="A161" s="16" t="s">
        <v>1552</v>
      </c>
      <c r="B161" s="16" t="s">
        <v>775</v>
      </c>
      <c r="C161" s="17" t="s">
        <v>761</v>
      </c>
      <c r="D161" s="18" t="s">
        <v>776</v>
      </c>
      <c r="E161" s="18" t="s">
        <v>779</v>
      </c>
      <c r="F161" s="19"/>
      <c r="G161" s="20" t="s">
        <v>1389</v>
      </c>
      <c r="H161" s="20" t="s">
        <v>1390</v>
      </c>
      <c r="I161" s="19"/>
      <c r="J161" s="21" t="s">
        <v>1391</v>
      </c>
    </row>
    <row r="162" spans="1:10" ht="15.75" customHeight="1" x14ac:dyDescent="0.25">
      <c r="A162" s="22" t="s">
        <v>1553</v>
      </c>
      <c r="B162" s="22" t="s">
        <v>780</v>
      </c>
      <c r="C162" s="23" t="s">
        <v>761</v>
      </c>
      <c r="D162" s="24" t="s">
        <v>781</v>
      </c>
      <c r="E162" s="24" t="s">
        <v>783</v>
      </c>
      <c r="F162" s="19"/>
      <c r="G162" s="20" t="s">
        <v>1389</v>
      </c>
      <c r="H162" s="20" t="s">
        <v>1390</v>
      </c>
      <c r="I162" s="19"/>
      <c r="J162" s="21" t="s">
        <v>1398</v>
      </c>
    </row>
    <row r="163" spans="1:10" ht="15.75" customHeight="1" x14ac:dyDescent="0.25">
      <c r="A163" s="16" t="s">
        <v>1554</v>
      </c>
      <c r="B163" s="16" t="s">
        <v>784</v>
      </c>
      <c r="C163" s="17" t="s">
        <v>761</v>
      </c>
      <c r="D163" s="18" t="s">
        <v>785</v>
      </c>
      <c r="E163" s="18" t="s">
        <v>787</v>
      </c>
      <c r="F163" s="19"/>
      <c r="G163" s="20" t="s">
        <v>1389</v>
      </c>
      <c r="H163" s="20" t="s">
        <v>1390</v>
      </c>
      <c r="I163" s="19"/>
      <c r="J163" s="21" t="s">
        <v>1398</v>
      </c>
    </row>
    <row r="164" spans="1:10" ht="15.75" customHeight="1" x14ac:dyDescent="0.25">
      <c r="A164" s="22" t="s">
        <v>1555</v>
      </c>
      <c r="B164" s="22" t="s">
        <v>788</v>
      </c>
      <c r="C164" s="23" t="s">
        <v>761</v>
      </c>
      <c r="D164" s="24" t="s">
        <v>789</v>
      </c>
      <c r="E164" s="24" t="s">
        <v>792</v>
      </c>
      <c r="F164" s="19"/>
      <c r="G164" s="20" t="s">
        <v>1389</v>
      </c>
      <c r="H164" s="20" t="s">
        <v>1390</v>
      </c>
      <c r="I164" s="19"/>
      <c r="J164" s="21" t="s">
        <v>1398</v>
      </c>
    </row>
    <row r="165" spans="1:10" ht="15.75" customHeight="1" x14ac:dyDescent="0.25">
      <c r="A165" s="16" t="s">
        <v>1556</v>
      </c>
      <c r="B165" s="16" t="s">
        <v>793</v>
      </c>
      <c r="C165" s="17" t="s">
        <v>761</v>
      </c>
      <c r="D165" s="18" t="s">
        <v>794</v>
      </c>
      <c r="E165" s="18" t="s">
        <v>797</v>
      </c>
      <c r="F165" s="19"/>
      <c r="G165" s="20" t="s">
        <v>1389</v>
      </c>
      <c r="H165" s="20" t="s">
        <v>1390</v>
      </c>
      <c r="I165" s="19"/>
      <c r="J165" s="21" t="s">
        <v>1391</v>
      </c>
    </row>
    <row r="166" spans="1:10" ht="15.75" customHeight="1" x14ac:dyDescent="0.25">
      <c r="A166" s="22" t="s">
        <v>1557</v>
      </c>
      <c r="B166" s="22" t="s">
        <v>798</v>
      </c>
      <c r="C166" s="23" t="s">
        <v>761</v>
      </c>
      <c r="D166" s="24" t="s">
        <v>799</v>
      </c>
      <c r="E166" s="24" t="s">
        <v>801</v>
      </c>
      <c r="F166" s="19"/>
      <c r="G166" s="20" t="s">
        <v>1389</v>
      </c>
      <c r="H166" s="20" t="s">
        <v>1390</v>
      </c>
      <c r="I166" s="19"/>
      <c r="J166" s="21" t="s">
        <v>1391</v>
      </c>
    </row>
    <row r="167" spans="1:10" ht="15.75" customHeight="1" x14ac:dyDescent="0.25">
      <c r="A167" s="16" t="s">
        <v>1558</v>
      </c>
      <c r="B167" s="16" t="s">
        <v>802</v>
      </c>
      <c r="C167" s="17" t="s">
        <v>761</v>
      </c>
      <c r="D167" s="18" t="s">
        <v>803</v>
      </c>
      <c r="E167" s="18" t="s">
        <v>805</v>
      </c>
      <c r="F167" s="19"/>
      <c r="G167" s="20" t="s">
        <v>1389</v>
      </c>
      <c r="H167" s="20" t="s">
        <v>1390</v>
      </c>
      <c r="I167" s="19"/>
      <c r="J167" s="21" t="s">
        <v>1391</v>
      </c>
    </row>
    <row r="168" spans="1:10" ht="15.75" customHeight="1" x14ac:dyDescent="0.25">
      <c r="A168" s="22" t="s">
        <v>1559</v>
      </c>
      <c r="B168" s="22" t="s">
        <v>806</v>
      </c>
      <c r="C168" s="23" t="s">
        <v>761</v>
      </c>
      <c r="D168" s="24" t="s">
        <v>807</v>
      </c>
      <c r="E168" s="24" t="s">
        <v>810</v>
      </c>
      <c r="F168" s="19"/>
      <c r="G168" s="20" t="s">
        <v>1389</v>
      </c>
      <c r="H168" s="20" t="s">
        <v>1390</v>
      </c>
      <c r="I168" s="19"/>
      <c r="J168" s="21" t="s">
        <v>1398</v>
      </c>
    </row>
    <row r="169" spans="1:10" ht="15.75" customHeight="1" x14ac:dyDescent="0.25">
      <c r="A169" s="16" t="s">
        <v>1560</v>
      </c>
      <c r="B169" s="16" t="s">
        <v>811</v>
      </c>
      <c r="C169" s="17" t="s">
        <v>761</v>
      </c>
      <c r="D169" s="18" t="s">
        <v>812</v>
      </c>
      <c r="E169" s="18" t="s">
        <v>815</v>
      </c>
      <c r="F169" s="19"/>
      <c r="G169" s="20" t="s">
        <v>1389</v>
      </c>
      <c r="H169" s="20" t="s">
        <v>1390</v>
      </c>
      <c r="I169" s="19"/>
      <c r="J169" s="21" t="s">
        <v>1398</v>
      </c>
    </row>
    <row r="170" spans="1:10" ht="15.75" customHeight="1" x14ac:dyDescent="0.25">
      <c r="A170" s="22" t="s">
        <v>1561</v>
      </c>
      <c r="B170" s="22" t="s">
        <v>816</v>
      </c>
      <c r="C170" s="23" t="s">
        <v>761</v>
      </c>
      <c r="D170" s="24" t="s">
        <v>817</v>
      </c>
      <c r="E170" s="24" t="s">
        <v>819</v>
      </c>
      <c r="F170" s="19"/>
      <c r="G170" s="20" t="s">
        <v>1389</v>
      </c>
      <c r="H170" s="20" t="s">
        <v>1390</v>
      </c>
      <c r="I170" s="19"/>
      <c r="J170" s="21" t="s">
        <v>1398</v>
      </c>
    </row>
    <row r="171" spans="1:10" ht="15.75" customHeight="1" x14ac:dyDescent="0.25">
      <c r="A171" s="16" t="s">
        <v>1562</v>
      </c>
      <c r="B171" s="16" t="s">
        <v>820</v>
      </c>
      <c r="C171" s="17" t="s">
        <v>761</v>
      </c>
      <c r="D171" s="18" t="s">
        <v>821</v>
      </c>
      <c r="E171" s="18" t="s">
        <v>824</v>
      </c>
      <c r="F171" s="19"/>
      <c r="G171" s="20" t="s">
        <v>1389</v>
      </c>
      <c r="H171" s="20" t="s">
        <v>1390</v>
      </c>
      <c r="I171" s="19"/>
      <c r="J171" s="21" t="s">
        <v>1398</v>
      </c>
    </row>
    <row r="172" spans="1:10" ht="15.75" customHeight="1" x14ac:dyDescent="0.25">
      <c r="A172" s="22" t="s">
        <v>1563</v>
      </c>
      <c r="B172" s="22" t="s">
        <v>825</v>
      </c>
      <c r="C172" s="23" t="s">
        <v>761</v>
      </c>
      <c r="D172" s="24" t="s">
        <v>826</v>
      </c>
      <c r="E172" s="24" t="s">
        <v>828</v>
      </c>
      <c r="F172" s="19"/>
      <c r="G172" s="20" t="s">
        <v>1389</v>
      </c>
      <c r="H172" s="20" t="s">
        <v>1390</v>
      </c>
      <c r="I172" s="19"/>
      <c r="J172" s="21" t="s">
        <v>1398</v>
      </c>
    </row>
    <row r="173" spans="1:10" ht="15.75" customHeight="1" x14ac:dyDescent="0.25">
      <c r="A173" s="16" t="s">
        <v>1564</v>
      </c>
      <c r="B173" s="16" t="s">
        <v>829</v>
      </c>
      <c r="C173" s="17" t="s">
        <v>761</v>
      </c>
      <c r="D173" s="18" t="s">
        <v>830</v>
      </c>
      <c r="E173" s="18" t="s">
        <v>832</v>
      </c>
      <c r="F173" s="19"/>
      <c r="G173" s="20" t="s">
        <v>1389</v>
      </c>
      <c r="H173" s="20" t="s">
        <v>1390</v>
      </c>
      <c r="I173" s="19"/>
      <c r="J173" s="21" t="s">
        <v>1391</v>
      </c>
    </row>
    <row r="174" spans="1:10" ht="15.75" customHeight="1" x14ac:dyDescent="0.25">
      <c r="A174" s="22" t="s">
        <v>1565</v>
      </c>
      <c r="B174" s="22" t="s">
        <v>833</v>
      </c>
      <c r="C174" s="23" t="s">
        <v>761</v>
      </c>
      <c r="D174" s="24" t="s">
        <v>834</v>
      </c>
      <c r="E174" s="24" t="s">
        <v>837</v>
      </c>
      <c r="F174" s="19"/>
      <c r="G174" s="20" t="s">
        <v>1389</v>
      </c>
      <c r="H174" s="20" t="s">
        <v>1390</v>
      </c>
      <c r="I174" s="19"/>
      <c r="J174" s="21" t="s">
        <v>1398</v>
      </c>
    </row>
    <row r="175" spans="1:10" ht="15.75" customHeight="1" x14ac:dyDescent="0.25">
      <c r="A175" s="16" t="s">
        <v>1566</v>
      </c>
      <c r="B175" s="16" t="s">
        <v>838</v>
      </c>
      <c r="C175" s="17" t="s">
        <v>761</v>
      </c>
      <c r="D175" s="18" t="s">
        <v>839</v>
      </c>
      <c r="E175" s="18" t="s">
        <v>842</v>
      </c>
      <c r="F175" s="19"/>
      <c r="G175" s="20" t="s">
        <v>1389</v>
      </c>
      <c r="H175" s="20" t="s">
        <v>1390</v>
      </c>
      <c r="I175" s="19"/>
      <c r="J175" s="21" t="s">
        <v>1398</v>
      </c>
    </row>
    <row r="176" spans="1:10" ht="15.75" customHeight="1" x14ac:dyDescent="0.25">
      <c r="A176" s="22" t="s">
        <v>1567</v>
      </c>
      <c r="B176" s="22" t="s">
        <v>843</v>
      </c>
      <c r="C176" s="23" t="s">
        <v>761</v>
      </c>
      <c r="D176" s="24" t="s">
        <v>844</v>
      </c>
      <c r="E176" s="24" t="s">
        <v>846</v>
      </c>
      <c r="F176" s="19"/>
      <c r="G176" s="20" t="s">
        <v>1389</v>
      </c>
      <c r="H176" s="20" t="s">
        <v>1390</v>
      </c>
      <c r="I176" s="19"/>
      <c r="J176" s="21" t="s">
        <v>1398</v>
      </c>
    </row>
    <row r="177" spans="1:10" ht="15.75" customHeight="1" x14ac:dyDescent="0.25">
      <c r="A177" s="16" t="s">
        <v>1568</v>
      </c>
      <c r="B177" s="16" t="s">
        <v>847</v>
      </c>
      <c r="C177" s="17" t="s">
        <v>761</v>
      </c>
      <c r="D177" s="18" t="s">
        <v>848</v>
      </c>
      <c r="E177" s="18" t="s">
        <v>850</v>
      </c>
      <c r="F177" s="19"/>
      <c r="G177" s="20" t="s">
        <v>1389</v>
      </c>
      <c r="H177" s="20" t="s">
        <v>1390</v>
      </c>
      <c r="I177" s="19"/>
      <c r="J177" s="21" t="s">
        <v>1398</v>
      </c>
    </row>
    <row r="178" spans="1:10" ht="15.75" customHeight="1" x14ac:dyDescent="0.25">
      <c r="A178" s="22" t="s">
        <v>1569</v>
      </c>
      <c r="B178" s="22" t="s">
        <v>851</v>
      </c>
      <c r="C178" s="23" t="s">
        <v>761</v>
      </c>
      <c r="D178" s="24" t="s">
        <v>852</v>
      </c>
      <c r="E178" s="24" t="s">
        <v>855</v>
      </c>
      <c r="F178" s="19"/>
      <c r="G178" s="20" t="s">
        <v>1389</v>
      </c>
      <c r="H178" s="20" t="s">
        <v>1390</v>
      </c>
      <c r="I178" s="19"/>
      <c r="J178" s="21" t="s">
        <v>1398</v>
      </c>
    </row>
    <row r="179" spans="1:10" ht="15.75" customHeight="1" x14ac:dyDescent="0.25">
      <c r="A179" s="16" t="s">
        <v>1570</v>
      </c>
      <c r="B179" s="16" t="s">
        <v>856</v>
      </c>
      <c r="C179" s="17" t="s">
        <v>761</v>
      </c>
      <c r="D179" s="18" t="s">
        <v>857</v>
      </c>
      <c r="E179" s="18" t="s">
        <v>860</v>
      </c>
      <c r="F179" s="19"/>
      <c r="G179" s="20" t="s">
        <v>1389</v>
      </c>
      <c r="H179" s="20" t="s">
        <v>1390</v>
      </c>
      <c r="I179" s="19"/>
      <c r="J179" s="21" t="s">
        <v>1398</v>
      </c>
    </row>
    <row r="180" spans="1:10" ht="15.75" customHeight="1" x14ac:dyDescent="0.25">
      <c r="A180" s="22" t="s">
        <v>1571</v>
      </c>
      <c r="B180" s="22" t="s">
        <v>861</v>
      </c>
      <c r="C180" s="23" t="s">
        <v>761</v>
      </c>
      <c r="D180" s="24" t="s">
        <v>862</v>
      </c>
      <c r="E180" s="24" t="s">
        <v>864</v>
      </c>
      <c r="F180" s="19"/>
      <c r="G180" s="20" t="s">
        <v>1389</v>
      </c>
      <c r="H180" s="20" t="s">
        <v>1390</v>
      </c>
      <c r="I180" s="19"/>
      <c r="J180" s="21" t="s">
        <v>1398</v>
      </c>
    </row>
    <row r="181" spans="1:10" ht="15.75" customHeight="1" x14ac:dyDescent="0.25">
      <c r="A181" s="16" t="s">
        <v>1572</v>
      </c>
      <c r="B181" s="16" t="s">
        <v>865</v>
      </c>
      <c r="C181" s="17" t="s">
        <v>761</v>
      </c>
      <c r="D181" s="18" t="s">
        <v>866</v>
      </c>
      <c r="E181" s="18" t="s">
        <v>868</v>
      </c>
      <c r="F181" s="19"/>
      <c r="G181" s="20" t="s">
        <v>1389</v>
      </c>
      <c r="H181" s="20" t="s">
        <v>1390</v>
      </c>
      <c r="I181" s="19"/>
      <c r="J181" s="21" t="s">
        <v>1398</v>
      </c>
    </row>
    <row r="182" spans="1:10" ht="15.75" customHeight="1" x14ac:dyDescent="0.25">
      <c r="A182" s="22" t="s">
        <v>1573</v>
      </c>
      <c r="B182" s="22" t="s">
        <v>869</v>
      </c>
      <c r="C182" s="23" t="s">
        <v>761</v>
      </c>
      <c r="D182" s="24" t="s">
        <v>870</v>
      </c>
      <c r="E182" s="24" t="s">
        <v>872</v>
      </c>
      <c r="F182" s="19"/>
      <c r="G182" s="20" t="s">
        <v>1389</v>
      </c>
      <c r="H182" s="20" t="s">
        <v>1390</v>
      </c>
      <c r="I182" s="19"/>
      <c r="J182" s="21" t="s">
        <v>1398</v>
      </c>
    </row>
    <row r="183" spans="1:10" ht="15.75" customHeight="1" x14ac:dyDescent="0.25">
      <c r="A183" s="16" t="s">
        <v>1574</v>
      </c>
      <c r="B183" s="16" t="s">
        <v>873</v>
      </c>
      <c r="C183" s="17" t="s">
        <v>761</v>
      </c>
      <c r="D183" s="18" t="s">
        <v>874</v>
      </c>
      <c r="E183" s="18" t="s">
        <v>876</v>
      </c>
      <c r="F183" s="19"/>
      <c r="G183" s="20" t="s">
        <v>1389</v>
      </c>
      <c r="H183" s="20" t="s">
        <v>1390</v>
      </c>
      <c r="I183" s="19"/>
      <c r="J183" s="21" t="s">
        <v>1398</v>
      </c>
    </row>
    <row r="184" spans="1:10" ht="15.75" customHeight="1" x14ac:dyDescent="0.25">
      <c r="A184" s="22" t="s">
        <v>1575</v>
      </c>
      <c r="B184" s="22" t="s">
        <v>877</v>
      </c>
      <c r="C184" s="23" t="s">
        <v>761</v>
      </c>
      <c r="D184" s="24" t="s">
        <v>878</v>
      </c>
      <c r="E184" s="24" t="s">
        <v>881</v>
      </c>
      <c r="F184" s="19"/>
      <c r="G184" s="20" t="s">
        <v>1389</v>
      </c>
      <c r="H184" s="20" t="s">
        <v>1390</v>
      </c>
      <c r="I184" s="19"/>
      <c r="J184" s="21" t="s">
        <v>1398</v>
      </c>
    </row>
    <row r="185" spans="1:10" ht="15.75" customHeight="1" x14ac:dyDescent="0.25">
      <c r="A185" s="16" t="s">
        <v>1576</v>
      </c>
      <c r="B185" s="16" t="s">
        <v>882</v>
      </c>
      <c r="C185" s="17" t="s">
        <v>761</v>
      </c>
      <c r="D185" s="18" t="s">
        <v>883</v>
      </c>
      <c r="E185" s="18" t="s">
        <v>885</v>
      </c>
      <c r="F185" s="19"/>
      <c r="G185" s="20" t="s">
        <v>1389</v>
      </c>
      <c r="H185" s="20" t="s">
        <v>1390</v>
      </c>
      <c r="I185" s="19"/>
      <c r="J185" s="21" t="s">
        <v>1391</v>
      </c>
    </row>
    <row r="186" spans="1:10" ht="15.75" customHeight="1" x14ac:dyDescent="0.25">
      <c r="A186" s="22" t="s">
        <v>1577</v>
      </c>
      <c r="B186" s="22" t="s">
        <v>886</v>
      </c>
      <c r="C186" s="23" t="s">
        <v>761</v>
      </c>
      <c r="D186" s="24" t="s">
        <v>887</v>
      </c>
      <c r="E186" s="24" t="s">
        <v>889</v>
      </c>
      <c r="F186" s="19"/>
      <c r="G186" s="20" t="s">
        <v>1389</v>
      </c>
      <c r="H186" s="20" t="s">
        <v>1390</v>
      </c>
      <c r="I186" s="19"/>
      <c r="J186" s="21" t="s">
        <v>1398</v>
      </c>
    </row>
    <row r="187" spans="1:10" ht="15.75" customHeight="1" x14ac:dyDescent="0.25">
      <c r="A187" s="16" t="s">
        <v>1578</v>
      </c>
      <c r="B187" s="16" t="s">
        <v>890</v>
      </c>
      <c r="C187" s="17" t="s">
        <v>761</v>
      </c>
      <c r="D187" s="18" t="s">
        <v>891</v>
      </c>
      <c r="E187" s="18" t="s">
        <v>894</v>
      </c>
      <c r="F187" s="19"/>
      <c r="G187" s="20" t="s">
        <v>1389</v>
      </c>
      <c r="H187" s="20" t="s">
        <v>1390</v>
      </c>
      <c r="I187" s="19"/>
      <c r="J187" s="21" t="s">
        <v>1391</v>
      </c>
    </row>
    <row r="188" spans="1:10" ht="15.75" customHeight="1" x14ac:dyDescent="0.25">
      <c r="A188" s="22" t="s">
        <v>1579</v>
      </c>
      <c r="B188" s="22" t="s">
        <v>895</v>
      </c>
      <c r="C188" s="23" t="s">
        <v>761</v>
      </c>
      <c r="D188" s="24" t="s">
        <v>896</v>
      </c>
      <c r="E188" s="24" t="s">
        <v>899</v>
      </c>
      <c r="F188" s="19"/>
      <c r="G188" s="20" t="s">
        <v>1389</v>
      </c>
      <c r="H188" s="20" t="s">
        <v>1390</v>
      </c>
      <c r="I188" s="19"/>
      <c r="J188" s="21" t="s">
        <v>1398</v>
      </c>
    </row>
    <row r="189" spans="1:10" ht="15.75" customHeight="1" x14ac:dyDescent="0.25">
      <c r="A189" s="16" t="s">
        <v>1580</v>
      </c>
      <c r="B189" s="16" t="s">
        <v>900</v>
      </c>
      <c r="C189" s="17" t="s">
        <v>761</v>
      </c>
      <c r="D189" s="18" t="s">
        <v>901</v>
      </c>
      <c r="E189" s="18" t="s">
        <v>903</v>
      </c>
      <c r="F189" s="19"/>
      <c r="G189" s="20" t="s">
        <v>1389</v>
      </c>
      <c r="H189" s="20" t="s">
        <v>1390</v>
      </c>
      <c r="I189" s="19"/>
      <c r="J189" s="21" t="s">
        <v>1398</v>
      </c>
    </row>
    <row r="190" spans="1:10" ht="15.75" customHeight="1" x14ac:dyDescent="0.25">
      <c r="A190" s="22" t="s">
        <v>1581</v>
      </c>
      <c r="B190" s="22" t="s">
        <v>905</v>
      </c>
      <c r="C190" s="23" t="s">
        <v>904</v>
      </c>
      <c r="D190" s="24" t="s">
        <v>61</v>
      </c>
      <c r="E190" s="24" t="s">
        <v>908</v>
      </c>
      <c r="F190" s="19"/>
      <c r="G190" s="20" t="s">
        <v>1389</v>
      </c>
      <c r="H190" s="20" t="s">
        <v>1390</v>
      </c>
      <c r="I190" s="19"/>
      <c r="J190" s="21" t="s">
        <v>1398</v>
      </c>
    </row>
    <row r="191" spans="1:10" ht="15.75" customHeight="1" x14ac:dyDescent="0.25">
      <c r="A191" s="16" t="s">
        <v>1582</v>
      </c>
      <c r="B191" s="16" t="s">
        <v>909</v>
      </c>
      <c r="C191" s="17" t="s">
        <v>904</v>
      </c>
      <c r="D191" s="18" t="s">
        <v>910</v>
      </c>
      <c r="E191" s="18" t="s">
        <v>913</v>
      </c>
      <c r="F191" s="19"/>
      <c r="G191" s="20" t="s">
        <v>1389</v>
      </c>
      <c r="H191" s="20" t="s">
        <v>1390</v>
      </c>
      <c r="I191" s="19"/>
      <c r="J191" s="21" t="s">
        <v>1398</v>
      </c>
    </row>
    <row r="192" spans="1:10" ht="15.75" customHeight="1" x14ac:dyDescent="0.25">
      <c r="A192" s="22" t="s">
        <v>1583</v>
      </c>
      <c r="B192" s="22" t="s">
        <v>914</v>
      </c>
      <c r="C192" s="23" t="s">
        <v>904</v>
      </c>
      <c r="D192" s="24" t="s">
        <v>915</v>
      </c>
      <c r="E192" s="24" t="s">
        <v>917</v>
      </c>
      <c r="F192" s="19"/>
      <c r="G192" s="20" t="s">
        <v>1389</v>
      </c>
      <c r="H192" s="20" t="s">
        <v>1390</v>
      </c>
      <c r="I192" s="19"/>
      <c r="J192" s="21" t="s">
        <v>1391</v>
      </c>
    </row>
    <row r="193" spans="1:10" ht="15.75" customHeight="1" x14ac:dyDescent="0.25">
      <c r="A193" s="16" t="s">
        <v>1584</v>
      </c>
      <c r="B193" s="16" t="s">
        <v>918</v>
      </c>
      <c r="C193" s="17" t="s">
        <v>904</v>
      </c>
      <c r="D193" s="18" t="s">
        <v>919</v>
      </c>
      <c r="E193" s="18" t="s">
        <v>922</v>
      </c>
      <c r="F193" s="19"/>
      <c r="G193" s="20" t="s">
        <v>1389</v>
      </c>
      <c r="H193" s="20" t="s">
        <v>1390</v>
      </c>
      <c r="I193" s="19"/>
      <c r="J193" s="21" t="s">
        <v>1391</v>
      </c>
    </row>
    <row r="194" spans="1:10" ht="15.75" customHeight="1" x14ac:dyDescent="0.25">
      <c r="A194" s="22" t="s">
        <v>1585</v>
      </c>
      <c r="B194" s="22" t="s">
        <v>923</v>
      </c>
      <c r="C194" s="23" t="s">
        <v>904</v>
      </c>
      <c r="D194" s="24" t="s">
        <v>924</v>
      </c>
      <c r="E194" s="24" t="s">
        <v>927</v>
      </c>
      <c r="F194" s="19"/>
      <c r="G194" s="20" t="s">
        <v>1389</v>
      </c>
      <c r="H194" s="20" t="s">
        <v>1390</v>
      </c>
      <c r="I194" s="19"/>
      <c r="J194" s="21" t="s">
        <v>1391</v>
      </c>
    </row>
    <row r="195" spans="1:10" ht="15.75" customHeight="1" x14ac:dyDescent="0.25">
      <c r="A195" s="16" t="s">
        <v>1586</v>
      </c>
      <c r="B195" s="16" t="s">
        <v>928</v>
      </c>
      <c r="C195" s="17" t="s">
        <v>904</v>
      </c>
      <c r="D195" s="18" t="s">
        <v>929</v>
      </c>
      <c r="E195" s="18" t="s">
        <v>932</v>
      </c>
      <c r="F195" s="19"/>
      <c r="G195" s="20" t="s">
        <v>1389</v>
      </c>
      <c r="H195" s="20" t="s">
        <v>1390</v>
      </c>
      <c r="I195" s="19"/>
      <c r="J195" s="21" t="s">
        <v>1398</v>
      </c>
    </row>
    <row r="196" spans="1:10" ht="15.75" customHeight="1" x14ac:dyDescent="0.25">
      <c r="A196" s="22" t="s">
        <v>1587</v>
      </c>
      <c r="B196" s="22" t="s">
        <v>933</v>
      </c>
      <c r="C196" s="23" t="s">
        <v>904</v>
      </c>
      <c r="D196" s="24" t="s">
        <v>934</v>
      </c>
      <c r="E196" s="24" t="s">
        <v>937</v>
      </c>
      <c r="F196" s="19"/>
      <c r="G196" s="20" t="s">
        <v>1389</v>
      </c>
      <c r="H196" s="20" t="s">
        <v>1390</v>
      </c>
      <c r="I196" s="19"/>
      <c r="J196" s="21" t="s">
        <v>1391</v>
      </c>
    </row>
    <row r="197" spans="1:10" ht="15.75" customHeight="1" x14ac:dyDescent="0.25">
      <c r="A197" s="16" t="s">
        <v>1588</v>
      </c>
      <c r="B197" s="16" t="s">
        <v>938</v>
      </c>
      <c r="C197" s="17" t="s">
        <v>904</v>
      </c>
      <c r="D197" s="18" t="s">
        <v>939</v>
      </c>
      <c r="E197" s="18" t="s">
        <v>941</v>
      </c>
      <c r="F197" s="19"/>
      <c r="G197" s="20" t="s">
        <v>1389</v>
      </c>
      <c r="H197" s="20" t="s">
        <v>1390</v>
      </c>
      <c r="I197" s="19"/>
      <c r="J197" s="21" t="s">
        <v>1398</v>
      </c>
    </row>
    <row r="198" spans="1:10" ht="15.75" customHeight="1" x14ac:dyDescent="0.25">
      <c r="A198" s="22" t="s">
        <v>1589</v>
      </c>
      <c r="B198" s="22" t="s">
        <v>942</v>
      </c>
      <c r="C198" s="23" t="s">
        <v>904</v>
      </c>
      <c r="D198" s="24" t="s">
        <v>943</v>
      </c>
      <c r="E198" s="24" t="s">
        <v>945</v>
      </c>
      <c r="F198" s="19"/>
      <c r="G198" s="20" t="s">
        <v>1389</v>
      </c>
      <c r="H198" s="20" t="s">
        <v>1390</v>
      </c>
      <c r="I198" s="19"/>
      <c r="J198" s="21" t="s">
        <v>1398</v>
      </c>
    </row>
    <row r="199" spans="1:10" ht="15.75" customHeight="1" x14ac:dyDescent="0.25">
      <c r="A199" s="16" t="s">
        <v>1590</v>
      </c>
      <c r="B199" s="16" t="s">
        <v>947</v>
      </c>
      <c r="C199" s="17" t="s">
        <v>946</v>
      </c>
      <c r="D199" s="18" t="s">
        <v>61</v>
      </c>
      <c r="E199" s="18" t="s">
        <v>950</v>
      </c>
      <c r="F199" s="19"/>
      <c r="G199" s="20" t="s">
        <v>1389</v>
      </c>
      <c r="H199" s="20" t="s">
        <v>1390</v>
      </c>
      <c r="I199" s="19"/>
      <c r="J199" s="21" t="s">
        <v>1398</v>
      </c>
    </row>
    <row r="200" spans="1:10" ht="15.75" customHeight="1" x14ac:dyDescent="0.25">
      <c r="A200" s="22" t="s">
        <v>1591</v>
      </c>
      <c r="B200" s="22" t="s">
        <v>951</v>
      </c>
      <c r="C200" s="23" t="s">
        <v>946</v>
      </c>
      <c r="D200" s="24" t="s">
        <v>952</v>
      </c>
      <c r="E200" s="24" t="s">
        <v>955</v>
      </c>
      <c r="F200" s="19"/>
      <c r="G200" s="20" t="s">
        <v>1389</v>
      </c>
      <c r="H200" s="20" t="s">
        <v>1390</v>
      </c>
      <c r="I200" s="19"/>
      <c r="J200" s="21" t="s">
        <v>1391</v>
      </c>
    </row>
    <row r="201" spans="1:10" ht="15.75" customHeight="1" x14ac:dyDescent="0.25">
      <c r="A201" s="16" t="s">
        <v>1592</v>
      </c>
      <c r="B201" s="16" t="s">
        <v>956</v>
      </c>
      <c r="C201" s="17" t="s">
        <v>946</v>
      </c>
      <c r="D201" s="18" t="s">
        <v>957</v>
      </c>
      <c r="E201" s="18" t="s">
        <v>959</v>
      </c>
      <c r="F201" s="19"/>
      <c r="G201" s="20" t="s">
        <v>1389</v>
      </c>
      <c r="H201" s="20" t="s">
        <v>1390</v>
      </c>
      <c r="I201" s="19"/>
      <c r="J201" s="21" t="s">
        <v>1391</v>
      </c>
    </row>
    <row r="202" spans="1:10" ht="15.75" customHeight="1" x14ac:dyDescent="0.25">
      <c r="A202" s="22" t="s">
        <v>1593</v>
      </c>
      <c r="B202" s="22" t="s">
        <v>960</v>
      </c>
      <c r="C202" s="23" t="s">
        <v>946</v>
      </c>
      <c r="D202" s="24" t="s">
        <v>961</v>
      </c>
      <c r="E202" s="24" t="s">
        <v>963</v>
      </c>
      <c r="F202" s="19"/>
      <c r="G202" s="20" t="s">
        <v>1389</v>
      </c>
      <c r="H202" s="20" t="s">
        <v>1390</v>
      </c>
      <c r="I202" s="19"/>
      <c r="J202" s="21" t="s">
        <v>1398</v>
      </c>
    </row>
    <row r="203" spans="1:10" ht="15.75" customHeight="1" x14ac:dyDescent="0.25">
      <c r="A203" s="16" t="s">
        <v>1594</v>
      </c>
      <c r="B203" s="16" t="s">
        <v>964</v>
      </c>
      <c r="C203" s="17" t="s">
        <v>946</v>
      </c>
      <c r="D203" s="18" t="s">
        <v>965</v>
      </c>
      <c r="E203" s="18" t="s">
        <v>967</v>
      </c>
      <c r="F203" s="19"/>
      <c r="G203" s="20" t="s">
        <v>1389</v>
      </c>
      <c r="H203" s="20" t="s">
        <v>1390</v>
      </c>
      <c r="I203" s="19"/>
      <c r="J203" s="21" t="s">
        <v>1398</v>
      </c>
    </row>
    <row r="204" spans="1:10" ht="15.75" customHeight="1" x14ac:dyDescent="0.25">
      <c r="A204" s="22" t="s">
        <v>1595</v>
      </c>
      <c r="B204" s="22" t="s">
        <v>968</v>
      </c>
      <c r="C204" s="23" t="s">
        <v>946</v>
      </c>
      <c r="D204" s="24" t="s">
        <v>969</v>
      </c>
      <c r="E204" s="24" t="s">
        <v>971</v>
      </c>
      <c r="F204" s="19"/>
      <c r="G204" s="20" t="s">
        <v>1389</v>
      </c>
      <c r="H204" s="20" t="s">
        <v>1390</v>
      </c>
      <c r="I204" s="19"/>
      <c r="J204" s="21" t="s">
        <v>1391</v>
      </c>
    </row>
    <row r="205" spans="1:10" ht="15.75" customHeight="1" x14ac:dyDescent="0.25">
      <c r="A205" s="16" t="s">
        <v>1596</v>
      </c>
      <c r="B205" s="16" t="s">
        <v>972</v>
      </c>
      <c r="C205" s="17" t="s">
        <v>946</v>
      </c>
      <c r="D205" s="18" t="s">
        <v>973</v>
      </c>
      <c r="E205" s="18" t="s">
        <v>976</v>
      </c>
      <c r="F205" s="19"/>
      <c r="G205" s="20" t="s">
        <v>1389</v>
      </c>
      <c r="H205" s="20" t="s">
        <v>1390</v>
      </c>
      <c r="I205" s="19"/>
      <c r="J205" s="21" t="s">
        <v>1398</v>
      </c>
    </row>
    <row r="206" spans="1:10" ht="15.75" customHeight="1" x14ac:dyDescent="0.25">
      <c r="A206" s="22" t="s">
        <v>1597</v>
      </c>
      <c r="B206" s="22" t="s">
        <v>977</v>
      </c>
      <c r="C206" s="23" t="s">
        <v>946</v>
      </c>
      <c r="D206" s="24" t="s">
        <v>978</v>
      </c>
      <c r="E206" s="24" t="s">
        <v>980</v>
      </c>
      <c r="F206" s="19"/>
      <c r="G206" s="20" t="s">
        <v>1389</v>
      </c>
      <c r="H206" s="20" t="s">
        <v>1390</v>
      </c>
      <c r="I206" s="19"/>
      <c r="J206" s="21" t="s">
        <v>1398</v>
      </c>
    </row>
    <row r="207" spans="1:10" ht="15.75" customHeight="1" x14ac:dyDescent="0.25">
      <c r="A207" s="16" t="s">
        <v>1598</v>
      </c>
      <c r="B207" s="16" t="s">
        <v>982</v>
      </c>
      <c r="C207" s="17" t="s">
        <v>981</v>
      </c>
      <c r="D207" s="18" t="s">
        <v>61</v>
      </c>
      <c r="E207" s="18" t="s">
        <v>984</v>
      </c>
      <c r="F207" s="19"/>
      <c r="G207" s="20" t="s">
        <v>1389</v>
      </c>
      <c r="H207" s="20" t="s">
        <v>1390</v>
      </c>
      <c r="I207" s="19"/>
      <c r="J207" s="21" t="s">
        <v>1398</v>
      </c>
    </row>
    <row r="208" spans="1:10" ht="15.75" customHeight="1" x14ac:dyDescent="0.25">
      <c r="A208" s="22" t="s">
        <v>1599</v>
      </c>
      <c r="B208" s="22" t="s">
        <v>985</v>
      </c>
      <c r="C208" s="23" t="s">
        <v>981</v>
      </c>
      <c r="D208" s="24" t="s">
        <v>986</v>
      </c>
      <c r="E208" s="24" t="s">
        <v>989</v>
      </c>
      <c r="F208" s="19"/>
      <c r="G208" s="20" t="s">
        <v>1389</v>
      </c>
      <c r="H208" s="20" t="s">
        <v>1390</v>
      </c>
      <c r="I208" s="19"/>
      <c r="J208" s="21" t="s">
        <v>1391</v>
      </c>
    </row>
    <row r="209" spans="1:10" ht="15.75" customHeight="1" x14ac:dyDescent="0.25">
      <c r="A209" s="16" t="s">
        <v>1600</v>
      </c>
      <c r="B209" s="16" t="s">
        <v>990</v>
      </c>
      <c r="C209" s="17" t="s">
        <v>981</v>
      </c>
      <c r="D209" s="18" t="s">
        <v>991</v>
      </c>
      <c r="E209" s="18" t="s">
        <v>993</v>
      </c>
      <c r="F209" s="19"/>
      <c r="G209" s="20" t="s">
        <v>1389</v>
      </c>
      <c r="H209" s="20" t="s">
        <v>1390</v>
      </c>
      <c r="I209" s="19"/>
      <c r="J209" s="21" t="s">
        <v>1391</v>
      </c>
    </row>
    <row r="210" spans="1:10" ht="15.75" customHeight="1" x14ac:dyDescent="0.25">
      <c r="A210" s="22" t="s">
        <v>1601</v>
      </c>
      <c r="B210" s="22" t="s">
        <v>994</v>
      </c>
      <c r="C210" s="23" t="s">
        <v>981</v>
      </c>
      <c r="D210" s="24" t="s">
        <v>995</v>
      </c>
      <c r="E210" s="24" t="s">
        <v>997</v>
      </c>
      <c r="F210" s="19"/>
      <c r="G210" s="20" t="s">
        <v>1389</v>
      </c>
      <c r="H210" s="20" t="s">
        <v>1390</v>
      </c>
      <c r="I210" s="19"/>
      <c r="J210" s="21" t="s">
        <v>1398</v>
      </c>
    </row>
    <row r="211" spans="1:10" ht="15.75" customHeight="1" x14ac:dyDescent="0.25">
      <c r="A211" s="16" t="s">
        <v>1602</v>
      </c>
      <c r="B211" s="16" t="s">
        <v>998</v>
      </c>
      <c r="C211" s="17" t="s">
        <v>981</v>
      </c>
      <c r="D211" s="18" t="s">
        <v>999</v>
      </c>
      <c r="E211" s="18" t="s">
        <v>1001</v>
      </c>
      <c r="F211" s="19"/>
      <c r="G211" s="20" t="s">
        <v>1389</v>
      </c>
      <c r="H211" s="20" t="s">
        <v>1390</v>
      </c>
      <c r="I211" s="19"/>
      <c r="J211" s="21" t="s">
        <v>1478</v>
      </c>
    </row>
    <row r="212" spans="1:10" ht="15.75" customHeight="1" x14ac:dyDescent="0.25">
      <c r="A212" s="22" t="s">
        <v>1603</v>
      </c>
      <c r="B212" s="22" t="s">
        <v>1002</v>
      </c>
      <c r="C212" s="23" t="s">
        <v>981</v>
      </c>
      <c r="D212" s="24" t="s">
        <v>1003</v>
      </c>
      <c r="E212" s="24" t="s">
        <v>1006</v>
      </c>
      <c r="F212" s="19"/>
      <c r="G212" s="20" t="s">
        <v>1389</v>
      </c>
      <c r="H212" s="20" t="s">
        <v>1390</v>
      </c>
      <c r="I212" s="19"/>
      <c r="J212" s="21" t="s">
        <v>1391</v>
      </c>
    </row>
    <row r="213" spans="1:10" ht="15.75" customHeight="1" x14ac:dyDescent="0.25">
      <c r="A213" s="16" t="s">
        <v>1604</v>
      </c>
      <c r="B213" s="16" t="s">
        <v>1007</v>
      </c>
      <c r="C213" s="17" t="s">
        <v>981</v>
      </c>
      <c r="D213" s="18" t="s">
        <v>1008</v>
      </c>
      <c r="E213" s="18" t="s">
        <v>1010</v>
      </c>
      <c r="F213" s="19"/>
      <c r="G213" s="20" t="s">
        <v>1389</v>
      </c>
      <c r="H213" s="20" t="s">
        <v>1390</v>
      </c>
      <c r="I213" s="19"/>
      <c r="J213" s="21" t="s">
        <v>1391</v>
      </c>
    </row>
    <row r="214" spans="1:10" ht="15.75" customHeight="1" x14ac:dyDescent="0.25">
      <c r="A214" s="22" t="s">
        <v>1605</v>
      </c>
      <c r="B214" s="22" t="s">
        <v>1011</v>
      </c>
      <c r="C214" s="23" t="s">
        <v>981</v>
      </c>
      <c r="D214" s="24" t="s">
        <v>1012</v>
      </c>
      <c r="E214" s="24" t="s">
        <v>1015</v>
      </c>
      <c r="F214" s="19"/>
      <c r="G214" s="20" t="s">
        <v>1389</v>
      </c>
      <c r="H214" s="20" t="s">
        <v>1390</v>
      </c>
      <c r="I214" s="19"/>
      <c r="J214" s="21" t="s">
        <v>1398</v>
      </c>
    </row>
    <row r="215" spans="1:10" ht="15.75" customHeight="1" x14ac:dyDescent="0.25">
      <c r="A215" s="16" t="s">
        <v>1606</v>
      </c>
      <c r="B215" s="16" t="s">
        <v>1016</v>
      </c>
      <c r="C215" s="17" t="s">
        <v>981</v>
      </c>
      <c r="D215" s="18" t="s">
        <v>1017</v>
      </c>
      <c r="E215" s="18" t="s">
        <v>1019</v>
      </c>
      <c r="F215" s="19"/>
      <c r="G215" s="20" t="s">
        <v>1389</v>
      </c>
      <c r="H215" s="20" t="s">
        <v>1390</v>
      </c>
      <c r="I215" s="19"/>
      <c r="J215" s="21" t="s">
        <v>1398</v>
      </c>
    </row>
    <row r="216" spans="1:10" ht="15.75" customHeight="1" x14ac:dyDescent="0.25">
      <c r="A216" s="22" t="s">
        <v>1607</v>
      </c>
      <c r="B216" s="22" t="s">
        <v>1020</v>
      </c>
      <c r="C216" s="23" t="s">
        <v>981</v>
      </c>
      <c r="D216" s="24" t="s">
        <v>1021</v>
      </c>
      <c r="E216" s="24" t="s">
        <v>1024</v>
      </c>
      <c r="F216" s="19"/>
      <c r="G216" s="20" t="s">
        <v>1389</v>
      </c>
      <c r="H216" s="20" t="s">
        <v>1390</v>
      </c>
      <c r="I216" s="19"/>
      <c r="J216" s="21" t="s">
        <v>1391</v>
      </c>
    </row>
    <row r="217" spans="1:10" ht="15.75" customHeight="1" x14ac:dyDescent="0.25">
      <c r="A217" s="16" t="s">
        <v>1608</v>
      </c>
      <c r="B217" s="16" t="s">
        <v>1026</v>
      </c>
      <c r="C217" s="17" t="s">
        <v>1025</v>
      </c>
      <c r="D217" s="18" t="s">
        <v>61</v>
      </c>
      <c r="E217" s="18" t="s">
        <v>1029</v>
      </c>
      <c r="F217" s="19"/>
      <c r="G217" s="20" t="s">
        <v>1389</v>
      </c>
      <c r="H217" s="20" t="s">
        <v>1390</v>
      </c>
      <c r="I217" s="19"/>
      <c r="J217" s="21" t="s">
        <v>1398</v>
      </c>
    </row>
    <row r="218" spans="1:10" ht="15.75" customHeight="1" x14ac:dyDescent="0.25">
      <c r="A218" s="22" t="s">
        <v>1609</v>
      </c>
      <c r="B218" s="22" t="s">
        <v>1030</v>
      </c>
      <c r="C218" s="23" t="s">
        <v>1025</v>
      </c>
      <c r="D218" s="24" t="s">
        <v>1031</v>
      </c>
      <c r="E218" s="24" t="s">
        <v>1034</v>
      </c>
      <c r="F218" s="19"/>
      <c r="G218" s="20" t="s">
        <v>1389</v>
      </c>
      <c r="H218" s="20" t="s">
        <v>1390</v>
      </c>
      <c r="I218" s="19"/>
      <c r="J218" s="21" t="s">
        <v>1398</v>
      </c>
    </row>
    <row r="219" spans="1:10" ht="15.75" customHeight="1" x14ac:dyDescent="0.25">
      <c r="A219" s="16" t="s">
        <v>1610</v>
      </c>
      <c r="B219" s="16" t="s">
        <v>1035</v>
      </c>
      <c r="C219" s="17" t="s">
        <v>1025</v>
      </c>
      <c r="D219" s="18" t="s">
        <v>1036</v>
      </c>
      <c r="E219" s="18" t="s">
        <v>1039</v>
      </c>
      <c r="F219" s="19"/>
      <c r="G219" s="20" t="s">
        <v>1389</v>
      </c>
      <c r="H219" s="20" t="s">
        <v>1390</v>
      </c>
      <c r="I219" s="19"/>
      <c r="J219" s="21" t="s">
        <v>1391</v>
      </c>
    </row>
    <row r="220" spans="1:10" ht="15.75" customHeight="1" x14ac:dyDescent="0.25">
      <c r="A220" s="22" t="s">
        <v>1611</v>
      </c>
      <c r="B220" s="22" t="s">
        <v>1040</v>
      </c>
      <c r="C220" s="23" t="s">
        <v>1025</v>
      </c>
      <c r="D220" s="24" t="s">
        <v>1041</v>
      </c>
      <c r="E220" s="24" t="s">
        <v>1043</v>
      </c>
      <c r="F220" s="19"/>
      <c r="G220" s="20" t="s">
        <v>1389</v>
      </c>
      <c r="H220" s="20" t="s">
        <v>1390</v>
      </c>
      <c r="I220" s="19"/>
      <c r="J220" s="21" t="s">
        <v>1391</v>
      </c>
    </row>
    <row r="221" spans="1:10" ht="15.75" customHeight="1" x14ac:dyDescent="0.25">
      <c r="A221" s="16" t="s">
        <v>1612</v>
      </c>
      <c r="B221" s="16" t="s">
        <v>1044</v>
      </c>
      <c r="C221" s="17" t="s">
        <v>1025</v>
      </c>
      <c r="D221" s="18" t="s">
        <v>1045</v>
      </c>
      <c r="E221" s="18" t="s">
        <v>1047</v>
      </c>
      <c r="F221" s="19"/>
      <c r="G221" s="20" t="s">
        <v>1389</v>
      </c>
      <c r="H221" s="20" t="s">
        <v>1390</v>
      </c>
      <c r="I221" s="19"/>
      <c r="J221" s="21" t="s">
        <v>1398</v>
      </c>
    </row>
    <row r="222" spans="1:10" ht="15.75" customHeight="1" x14ac:dyDescent="0.25">
      <c r="A222" s="22" t="s">
        <v>1613</v>
      </c>
      <c r="B222" s="22" t="s">
        <v>1048</v>
      </c>
      <c r="C222" s="23" t="s">
        <v>1025</v>
      </c>
      <c r="D222" s="24" t="s">
        <v>371</v>
      </c>
      <c r="E222" s="24" t="s">
        <v>415</v>
      </c>
      <c r="F222" s="19"/>
      <c r="G222" s="20" t="s">
        <v>1389</v>
      </c>
      <c r="H222" s="20" t="s">
        <v>1390</v>
      </c>
      <c r="I222" s="19"/>
      <c r="J222" s="21" t="s">
        <v>1391</v>
      </c>
    </row>
    <row r="223" spans="1:10" ht="15.75" customHeight="1" x14ac:dyDescent="0.25">
      <c r="A223" s="16" t="s">
        <v>1614</v>
      </c>
      <c r="B223" s="16" t="s">
        <v>1049</v>
      </c>
      <c r="C223" s="17" t="s">
        <v>1025</v>
      </c>
      <c r="D223" s="18" t="s">
        <v>376</v>
      </c>
      <c r="E223" s="18" t="s">
        <v>415</v>
      </c>
      <c r="F223" s="19"/>
      <c r="G223" s="20" t="s">
        <v>1389</v>
      </c>
      <c r="H223" s="20" t="s">
        <v>1390</v>
      </c>
      <c r="I223" s="19"/>
      <c r="J223" s="21" t="s">
        <v>1391</v>
      </c>
    </row>
    <row r="224" spans="1:10" ht="15.75" customHeight="1" x14ac:dyDescent="0.25">
      <c r="A224" s="22" t="s">
        <v>1615</v>
      </c>
      <c r="B224" s="22" t="s">
        <v>1050</v>
      </c>
      <c r="C224" s="23" t="s">
        <v>1025</v>
      </c>
      <c r="D224" s="24" t="s">
        <v>1051</v>
      </c>
      <c r="E224" s="24" t="s">
        <v>1054</v>
      </c>
      <c r="F224" s="19"/>
      <c r="G224" s="20" t="s">
        <v>1389</v>
      </c>
      <c r="H224" s="20" t="s">
        <v>1390</v>
      </c>
      <c r="I224" s="19"/>
      <c r="J224" s="21" t="s">
        <v>1391</v>
      </c>
    </row>
    <row r="225" spans="1:10" ht="15.75" customHeight="1" x14ac:dyDescent="0.25">
      <c r="A225" s="16" t="s">
        <v>1616</v>
      </c>
      <c r="B225" s="16" t="s">
        <v>1055</v>
      </c>
      <c r="C225" s="17" t="s">
        <v>1025</v>
      </c>
      <c r="D225" s="18" t="s">
        <v>1056</v>
      </c>
      <c r="E225" s="18" t="s">
        <v>1058</v>
      </c>
      <c r="F225" s="19"/>
      <c r="G225" s="20" t="s">
        <v>1389</v>
      </c>
      <c r="H225" s="20" t="s">
        <v>1390</v>
      </c>
      <c r="I225" s="19"/>
      <c r="J225" s="21" t="s">
        <v>1391</v>
      </c>
    </row>
    <row r="226" spans="1:10" ht="15.75" customHeight="1" x14ac:dyDescent="0.25">
      <c r="A226" s="22" t="s">
        <v>1617</v>
      </c>
      <c r="B226" s="22" t="s">
        <v>1059</v>
      </c>
      <c r="C226" s="23" t="s">
        <v>1025</v>
      </c>
      <c r="D226" s="24" t="s">
        <v>1060</v>
      </c>
      <c r="E226" s="24" t="s">
        <v>1063</v>
      </c>
      <c r="F226" s="19"/>
      <c r="G226" s="20" t="s">
        <v>1389</v>
      </c>
      <c r="H226" s="20" t="s">
        <v>1390</v>
      </c>
      <c r="I226" s="19"/>
      <c r="J226" s="21" t="s">
        <v>1391</v>
      </c>
    </row>
    <row r="227" spans="1:10" ht="15.75" customHeight="1" x14ac:dyDescent="0.25">
      <c r="A227" s="16" t="s">
        <v>1618</v>
      </c>
      <c r="B227" s="16" t="s">
        <v>1064</v>
      </c>
      <c r="C227" s="17" t="s">
        <v>1025</v>
      </c>
      <c r="D227" s="18" t="s">
        <v>1065</v>
      </c>
      <c r="E227" s="18" t="s">
        <v>1068</v>
      </c>
      <c r="F227" s="19"/>
      <c r="G227" s="20" t="s">
        <v>1389</v>
      </c>
      <c r="H227" s="20" t="s">
        <v>1390</v>
      </c>
      <c r="I227" s="19"/>
      <c r="J227" s="21" t="s">
        <v>1391</v>
      </c>
    </row>
    <row r="228" spans="1:10" ht="15.75" customHeight="1" x14ac:dyDescent="0.25">
      <c r="A228" s="22" t="s">
        <v>1619</v>
      </c>
      <c r="B228" s="22" t="s">
        <v>1069</v>
      </c>
      <c r="C228" s="23" t="s">
        <v>1025</v>
      </c>
      <c r="D228" s="24" t="s">
        <v>1070</v>
      </c>
      <c r="E228" s="24" t="s">
        <v>1072</v>
      </c>
      <c r="F228" s="19"/>
      <c r="G228" s="20" t="s">
        <v>1389</v>
      </c>
      <c r="H228" s="20" t="s">
        <v>1390</v>
      </c>
      <c r="I228" s="19"/>
      <c r="J228" s="21" t="s">
        <v>1391</v>
      </c>
    </row>
    <row r="229" spans="1:10" ht="15.75" customHeight="1" x14ac:dyDescent="0.25">
      <c r="A229" s="16" t="s">
        <v>1620</v>
      </c>
      <c r="B229" s="16" t="s">
        <v>1073</v>
      </c>
      <c r="C229" s="17" t="s">
        <v>1025</v>
      </c>
      <c r="D229" s="18" t="s">
        <v>1074</v>
      </c>
      <c r="E229" s="18" t="s">
        <v>415</v>
      </c>
      <c r="F229" s="19"/>
      <c r="G229" s="20" t="s">
        <v>1389</v>
      </c>
      <c r="H229" s="20" t="s">
        <v>1390</v>
      </c>
      <c r="I229" s="19"/>
      <c r="J229" s="21" t="s">
        <v>1391</v>
      </c>
    </row>
    <row r="230" spans="1:10" ht="15.75" customHeight="1" x14ac:dyDescent="0.25">
      <c r="A230" s="22" t="s">
        <v>1621</v>
      </c>
      <c r="B230" s="22" t="s">
        <v>1075</v>
      </c>
      <c r="C230" s="23" t="s">
        <v>1025</v>
      </c>
      <c r="D230" s="24" t="s">
        <v>1017</v>
      </c>
      <c r="E230" s="24" t="s">
        <v>415</v>
      </c>
      <c r="F230" s="19"/>
      <c r="G230" s="20" t="s">
        <v>1389</v>
      </c>
      <c r="H230" s="20" t="s">
        <v>1390</v>
      </c>
      <c r="I230" s="19"/>
      <c r="J230" s="21" t="s">
        <v>1391</v>
      </c>
    </row>
    <row r="231" spans="1:10" ht="15.75" customHeight="1" x14ac:dyDescent="0.25">
      <c r="A231" s="16" t="s">
        <v>1622</v>
      </c>
      <c r="B231" s="16" t="s">
        <v>1076</v>
      </c>
      <c r="C231" s="17" t="s">
        <v>1025</v>
      </c>
      <c r="D231" s="18" t="s">
        <v>1077</v>
      </c>
      <c r="E231" s="18" t="s">
        <v>1079</v>
      </c>
      <c r="F231" s="19"/>
      <c r="G231" s="20" t="s">
        <v>1389</v>
      </c>
      <c r="H231" s="20" t="s">
        <v>1390</v>
      </c>
      <c r="I231" s="19"/>
      <c r="J231" s="21" t="s">
        <v>1398</v>
      </c>
    </row>
    <row r="232" spans="1:10" ht="15.75" customHeight="1" x14ac:dyDescent="0.25">
      <c r="A232" s="22" t="s">
        <v>1623</v>
      </c>
      <c r="B232" s="22" t="s">
        <v>1080</v>
      </c>
      <c r="C232" s="23" t="s">
        <v>1025</v>
      </c>
      <c r="D232" s="24" t="s">
        <v>1081</v>
      </c>
      <c r="E232" s="24" t="s">
        <v>1084</v>
      </c>
      <c r="F232" s="19"/>
      <c r="G232" s="20" t="s">
        <v>1389</v>
      </c>
      <c r="H232" s="20" t="s">
        <v>1390</v>
      </c>
      <c r="I232" s="19"/>
      <c r="J232" s="21" t="s">
        <v>1398</v>
      </c>
    </row>
    <row r="233" spans="1:10" ht="15.75" customHeight="1" x14ac:dyDescent="0.25">
      <c r="A233" s="16" t="s">
        <v>1624</v>
      </c>
      <c r="B233" s="16" t="s">
        <v>1085</v>
      </c>
      <c r="C233" s="17" t="s">
        <v>1025</v>
      </c>
      <c r="D233" s="18" t="s">
        <v>1086</v>
      </c>
      <c r="E233" s="18" t="s">
        <v>1088</v>
      </c>
      <c r="F233" s="19"/>
      <c r="G233" s="20" t="s">
        <v>1389</v>
      </c>
      <c r="H233" s="20" t="s">
        <v>1390</v>
      </c>
      <c r="I233" s="19"/>
      <c r="J233" s="21" t="s">
        <v>1398</v>
      </c>
    </row>
    <row r="234" spans="1:10" ht="15.75" customHeight="1" x14ac:dyDescent="0.25">
      <c r="A234" s="22" t="s">
        <v>1625</v>
      </c>
      <c r="B234" s="22" t="s">
        <v>1089</v>
      </c>
      <c r="C234" s="23" t="s">
        <v>1025</v>
      </c>
      <c r="D234" s="24" t="s">
        <v>1090</v>
      </c>
      <c r="E234" s="24" t="s">
        <v>1092</v>
      </c>
      <c r="F234" s="19"/>
      <c r="G234" s="20" t="s">
        <v>1389</v>
      </c>
      <c r="H234" s="20" t="s">
        <v>1390</v>
      </c>
      <c r="I234" s="19"/>
      <c r="J234" s="21" t="s">
        <v>1398</v>
      </c>
    </row>
    <row r="235" spans="1:10" ht="15.75" customHeight="1" x14ac:dyDescent="0.25">
      <c r="A235" s="16" t="s">
        <v>1626</v>
      </c>
      <c r="B235" s="16" t="s">
        <v>1093</v>
      </c>
      <c r="C235" s="17" t="s">
        <v>1025</v>
      </c>
      <c r="D235" s="18" t="s">
        <v>1094</v>
      </c>
      <c r="E235" s="18" t="s">
        <v>1096</v>
      </c>
      <c r="F235" s="19"/>
      <c r="G235" s="20" t="s">
        <v>1389</v>
      </c>
      <c r="H235" s="20" t="s">
        <v>1390</v>
      </c>
      <c r="I235" s="19"/>
      <c r="J235" s="21" t="s">
        <v>1398</v>
      </c>
    </row>
    <row r="236" spans="1:10" ht="15.75" customHeight="1" x14ac:dyDescent="0.25">
      <c r="A236" s="22" t="s">
        <v>1627</v>
      </c>
      <c r="B236" s="22" t="s">
        <v>1097</v>
      </c>
      <c r="C236" s="23" t="s">
        <v>1025</v>
      </c>
      <c r="D236" s="24" t="s">
        <v>1098</v>
      </c>
      <c r="E236" s="24" t="s">
        <v>1100</v>
      </c>
      <c r="F236" s="19"/>
      <c r="G236" s="20" t="s">
        <v>1389</v>
      </c>
      <c r="H236" s="20" t="s">
        <v>1390</v>
      </c>
      <c r="I236" s="19"/>
      <c r="J236" s="21" t="s">
        <v>1398</v>
      </c>
    </row>
    <row r="237" spans="1:10" ht="15.75" customHeight="1" x14ac:dyDescent="0.25">
      <c r="A237" s="16" t="s">
        <v>1628</v>
      </c>
      <c r="B237" s="16" t="s">
        <v>1101</v>
      </c>
      <c r="C237" s="17" t="s">
        <v>1025</v>
      </c>
      <c r="D237" s="18" t="s">
        <v>1102</v>
      </c>
      <c r="E237" s="18" t="s">
        <v>1104</v>
      </c>
      <c r="F237" s="19"/>
      <c r="G237" s="20" t="s">
        <v>1389</v>
      </c>
      <c r="H237" s="20" t="s">
        <v>1390</v>
      </c>
      <c r="I237" s="19"/>
      <c r="J237" s="21" t="s">
        <v>1391</v>
      </c>
    </row>
    <row r="238" spans="1:10" ht="15.75" customHeight="1" x14ac:dyDescent="0.25">
      <c r="A238" s="22" t="s">
        <v>1629</v>
      </c>
      <c r="B238" s="22" t="s">
        <v>1105</v>
      </c>
      <c r="C238" s="23" t="s">
        <v>1025</v>
      </c>
      <c r="D238" s="24" t="s">
        <v>1106</v>
      </c>
      <c r="E238" s="24" t="s">
        <v>1108</v>
      </c>
      <c r="F238" s="19"/>
      <c r="G238" s="20" t="s">
        <v>1389</v>
      </c>
      <c r="H238" s="20" t="s">
        <v>1390</v>
      </c>
      <c r="I238" s="19"/>
      <c r="J238" s="21" t="s">
        <v>1398</v>
      </c>
    </row>
    <row r="239" spans="1:10" ht="15.75" customHeight="1" x14ac:dyDescent="0.25">
      <c r="A239" s="16" t="s">
        <v>1630</v>
      </c>
      <c r="B239" s="16" t="s">
        <v>1109</v>
      </c>
      <c r="C239" s="17" t="s">
        <v>1025</v>
      </c>
      <c r="D239" s="18" t="s">
        <v>1110</v>
      </c>
      <c r="E239" s="18" t="s">
        <v>1112</v>
      </c>
      <c r="F239" s="19"/>
      <c r="G239" s="20" t="s">
        <v>1389</v>
      </c>
      <c r="H239" s="20" t="s">
        <v>1390</v>
      </c>
      <c r="I239" s="19"/>
      <c r="J239" s="21" t="s">
        <v>1398</v>
      </c>
    </row>
    <row r="240" spans="1:10" ht="15.75" customHeight="1" x14ac:dyDescent="0.25">
      <c r="A240" s="22" t="s">
        <v>1631</v>
      </c>
      <c r="B240" s="22" t="s">
        <v>1113</v>
      </c>
      <c r="C240" s="23" t="s">
        <v>1025</v>
      </c>
      <c r="D240" s="24" t="s">
        <v>1114</v>
      </c>
      <c r="E240" s="24" t="s">
        <v>415</v>
      </c>
      <c r="F240" s="19"/>
      <c r="G240" s="20" t="s">
        <v>1389</v>
      </c>
      <c r="H240" s="20" t="s">
        <v>1390</v>
      </c>
      <c r="I240" s="19"/>
      <c r="J240" s="21" t="s">
        <v>1391</v>
      </c>
    </row>
    <row r="241" spans="1:10" ht="15.75" customHeight="1" x14ac:dyDescent="0.25">
      <c r="A241" s="16" t="s">
        <v>1632</v>
      </c>
      <c r="B241" s="16" t="s">
        <v>1116</v>
      </c>
      <c r="C241" s="17" t="s">
        <v>1115</v>
      </c>
      <c r="D241" s="18" t="s">
        <v>61</v>
      </c>
      <c r="E241" s="18" t="s">
        <v>1119</v>
      </c>
      <c r="F241" s="19"/>
      <c r="G241" s="20" t="s">
        <v>1389</v>
      </c>
      <c r="H241" s="20" t="s">
        <v>1390</v>
      </c>
      <c r="I241" s="19"/>
      <c r="J241" s="21" t="s">
        <v>1398</v>
      </c>
    </row>
    <row r="242" spans="1:10" ht="15.75" customHeight="1" x14ac:dyDescent="0.25">
      <c r="A242" s="22" t="s">
        <v>1633</v>
      </c>
      <c r="B242" s="22" t="s">
        <v>1120</v>
      </c>
      <c r="C242" s="23" t="s">
        <v>1115</v>
      </c>
      <c r="D242" s="24" t="s">
        <v>1121</v>
      </c>
      <c r="E242" s="24" t="s">
        <v>1124</v>
      </c>
      <c r="F242" s="19"/>
      <c r="G242" s="20" t="s">
        <v>1389</v>
      </c>
      <c r="H242" s="20" t="s">
        <v>1390</v>
      </c>
      <c r="I242" s="19"/>
      <c r="J242" s="21" t="s">
        <v>1391</v>
      </c>
    </row>
    <row r="243" spans="1:10" ht="15.75" customHeight="1" x14ac:dyDescent="0.25">
      <c r="A243" s="16" t="s">
        <v>1634</v>
      </c>
      <c r="B243" s="16" t="s">
        <v>1125</v>
      </c>
      <c r="C243" s="17" t="s">
        <v>1115</v>
      </c>
      <c r="D243" s="18" t="s">
        <v>1126</v>
      </c>
      <c r="E243" s="18" t="s">
        <v>1129</v>
      </c>
      <c r="F243" s="19"/>
      <c r="G243" s="20" t="s">
        <v>1389</v>
      </c>
      <c r="H243" s="20" t="s">
        <v>1390</v>
      </c>
      <c r="I243" s="19"/>
      <c r="J243" s="21" t="s">
        <v>1391</v>
      </c>
    </row>
    <row r="244" spans="1:10" ht="15.75" customHeight="1" x14ac:dyDescent="0.25">
      <c r="A244" s="22" t="s">
        <v>1635</v>
      </c>
      <c r="B244" s="22" t="s">
        <v>1130</v>
      </c>
      <c r="C244" s="23" t="s">
        <v>1115</v>
      </c>
      <c r="D244" s="24" t="s">
        <v>1131</v>
      </c>
      <c r="E244" s="24" t="s">
        <v>1134</v>
      </c>
      <c r="F244" s="19"/>
      <c r="G244" s="20" t="s">
        <v>1389</v>
      </c>
      <c r="H244" s="20" t="s">
        <v>1390</v>
      </c>
      <c r="I244" s="19"/>
      <c r="J244" s="21" t="s">
        <v>1391</v>
      </c>
    </row>
    <row r="245" spans="1:10" ht="15.75" customHeight="1" x14ac:dyDescent="0.25">
      <c r="A245" s="16" t="s">
        <v>1636</v>
      </c>
      <c r="B245" s="16" t="s">
        <v>1135</v>
      </c>
      <c r="C245" s="17" t="s">
        <v>1115</v>
      </c>
      <c r="D245" s="18" t="s">
        <v>1136</v>
      </c>
      <c r="E245" s="18" t="s">
        <v>1139</v>
      </c>
      <c r="F245" s="19"/>
      <c r="G245" s="20" t="s">
        <v>1389</v>
      </c>
      <c r="H245" s="20" t="s">
        <v>1390</v>
      </c>
      <c r="I245" s="19"/>
      <c r="J245" s="21" t="s">
        <v>1391</v>
      </c>
    </row>
    <row r="246" spans="1:10" ht="15.75" customHeight="1" x14ac:dyDescent="0.25">
      <c r="A246" s="22" t="s">
        <v>1637</v>
      </c>
      <c r="B246" s="22" t="s">
        <v>1140</v>
      </c>
      <c r="C246" s="23" t="s">
        <v>1115</v>
      </c>
      <c r="D246" s="24" t="s">
        <v>1141</v>
      </c>
      <c r="E246" s="24" t="s">
        <v>1143</v>
      </c>
      <c r="F246" s="19"/>
      <c r="G246" s="20" t="s">
        <v>1389</v>
      </c>
      <c r="H246" s="20" t="s">
        <v>1390</v>
      </c>
      <c r="I246" s="19"/>
      <c r="J246" s="21" t="s">
        <v>1398</v>
      </c>
    </row>
    <row r="247" spans="1:10" ht="15.75" customHeight="1" x14ac:dyDescent="0.25">
      <c r="A247" s="16" t="s">
        <v>1638</v>
      </c>
      <c r="B247" s="16" t="s">
        <v>1144</v>
      </c>
      <c r="C247" s="17" t="s">
        <v>1115</v>
      </c>
      <c r="D247" s="18" t="s">
        <v>1145</v>
      </c>
      <c r="E247" s="18" t="s">
        <v>1147</v>
      </c>
      <c r="F247" s="19"/>
      <c r="G247" s="20" t="s">
        <v>1389</v>
      </c>
      <c r="H247" s="20" t="s">
        <v>1390</v>
      </c>
      <c r="I247" s="19"/>
      <c r="J247" s="21" t="s">
        <v>1391</v>
      </c>
    </row>
    <row r="248" spans="1:10" ht="15.75" customHeight="1" x14ac:dyDescent="0.25">
      <c r="A248" s="22" t="s">
        <v>1639</v>
      </c>
      <c r="B248" s="22" t="s">
        <v>1148</v>
      </c>
      <c r="C248" s="23" t="s">
        <v>1115</v>
      </c>
      <c r="D248" s="24" t="s">
        <v>1149</v>
      </c>
      <c r="E248" s="24" t="s">
        <v>1152</v>
      </c>
      <c r="F248" s="19"/>
      <c r="G248" s="20" t="s">
        <v>1389</v>
      </c>
      <c r="H248" s="20" t="s">
        <v>1390</v>
      </c>
      <c r="I248" s="19"/>
      <c r="J248" s="21" t="s">
        <v>1391</v>
      </c>
    </row>
    <row r="249" spans="1:10" ht="15.75" customHeight="1" x14ac:dyDescent="0.25">
      <c r="A249" s="16" t="s">
        <v>1640</v>
      </c>
      <c r="B249" s="16" t="s">
        <v>1153</v>
      </c>
      <c r="C249" s="17" t="s">
        <v>1115</v>
      </c>
      <c r="D249" s="18" t="s">
        <v>1154</v>
      </c>
      <c r="E249" s="18" t="s">
        <v>415</v>
      </c>
      <c r="F249" s="19"/>
      <c r="G249" s="20" t="s">
        <v>1389</v>
      </c>
      <c r="H249" s="20" t="s">
        <v>1390</v>
      </c>
      <c r="I249" s="19"/>
      <c r="J249" s="21" t="s">
        <v>1391</v>
      </c>
    </row>
    <row r="250" spans="1:10" ht="15.75" customHeight="1" x14ac:dyDescent="0.25">
      <c r="A250" s="22" t="s">
        <v>1641</v>
      </c>
      <c r="B250" s="22" t="s">
        <v>1155</v>
      </c>
      <c r="C250" s="23" t="s">
        <v>1115</v>
      </c>
      <c r="D250" s="24" t="s">
        <v>1156</v>
      </c>
      <c r="E250" s="24" t="s">
        <v>1159</v>
      </c>
      <c r="F250" s="19"/>
      <c r="G250" s="20" t="s">
        <v>1389</v>
      </c>
      <c r="H250" s="20" t="s">
        <v>1390</v>
      </c>
      <c r="I250" s="19"/>
      <c r="J250" s="21" t="s">
        <v>1398</v>
      </c>
    </row>
    <row r="251" spans="1:10" ht="15.75" customHeight="1" x14ac:dyDescent="0.25">
      <c r="A251" s="16" t="s">
        <v>1642</v>
      </c>
      <c r="B251" s="16" t="s">
        <v>1160</v>
      </c>
      <c r="C251" s="17" t="s">
        <v>1115</v>
      </c>
      <c r="D251" s="18" t="s">
        <v>1161</v>
      </c>
      <c r="E251" s="18" t="s">
        <v>1163</v>
      </c>
      <c r="F251" s="19"/>
      <c r="G251" s="20" t="s">
        <v>1389</v>
      </c>
      <c r="H251" s="20" t="s">
        <v>1390</v>
      </c>
      <c r="I251" s="19"/>
      <c r="J251" s="21" t="s">
        <v>1398</v>
      </c>
    </row>
    <row r="252" spans="1:10" ht="15.75" customHeight="1" x14ac:dyDescent="0.25">
      <c r="A252" s="22" t="s">
        <v>1643</v>
      </c>
      <c r="B252" s="22" t="s">
        <v>1164</v>
      </c>
      <c r="C252" s="23" t="s">
        <v>1115</v>
      </c>
      <c r="D252" s="24" t="s">
        <v>1165</v>
      </c>
      <c r="E252" s="24" t="s">
        <v>1168</v>
      </c>
      <c r="F252" s="19"/>
      <c r="G252" s="20" t="s">
        <v>1389</v>
      </c>
      <c r="H252" s="20" t="s">
        <v>1390</v>
      </c>
      <c r="I252" s="19"/>
      <c r="J252" s="21" t="s">
        <v>1391</v>
      </c>
    </row>
    <row r="253" spans="1:10" ht="15.75" customHeight="1" x14ac:dyDescent="0.25">
      <c r="A253" s="16" t="s">
        <v>1644</v>
      </c>
      <c r="B253" s="16" t="s">
        <v>1169</v>
      </c>
      <c r="C253" s="17" t="s">
        <v>1115</v>
      </c>
      <c r="D253" s="18" t="s">
        <v>1170</v>
      </c>
      <c r="E253" s="18" t="s">
        <v>1172</v>
      </c>
      <c r="F253" s="19"/>
      <c r="G253" s="20" t="s">
        <v>1389</v>
      </c>
      <c r="H253" s="20" t="s">
        <v>1390</v>
      </c>
      <c r="I253" s="19"/>
      <c r="J253" s="21" t="s">
        <v>1391</v>
      </c>
    </row>
    <row r="254" spans="1:10" ht="15.75" customHeight="1" x14ac:dyDescent="0.25">
      <c r="A254" s="22" t="s">
        <v>1645</v>
      </c>
      <c r="B254" s="22" t="s">
        <v>1173</v>
      </c>
      <c r="C254" s="23" t="s">
        <v>1115</v>
      </c>
      <c r="D254" s="24" t="s">
        <v>1174</v>
      </c>
      <c r="E254" s="24" t="s">
        <v>415</v>
      </c>
      <c r="F254" s="19"/>
      <c r="G254" s="20" t="s">
        <v>1389</v>
      </c>
      <c r="H254" s="20" t="s">
        <v>1390</v>
      </c>
      <c r="I254" s="19"/>
      <c r="J254" s="21" t="s">
        <v>1391</v>
      </c>
    </row>
    <row r="255" spans="1:10" ht="15.75" customHeight="1" x14ac:dyDescent="0.25">
      <c r="A255" s="16" t="s">
        <v>1646</v>
      </c>
      <c r="B255" s="16" t="s">
        <v>1175</v>
      </c>
      <c r="C255" s="17" t="s">
        <v>1115</v>
      </c>
      <c r="D255" s="18" t="s">
        <v>1176</v>
      </c>
      <c r="E255" s="18" t="s">
        <v>1179</v>
      </c>
      <c r="F255" s="19"/>
      <c r="G255" s="20" t="s">
        <v>1389</v>
      </c>
      <c r="H255" s="20" t="s">
        <v>1390</v>
      </c>
      <c r="I255" s="19"/>
      <c r="J255" s="21" t="s">
        <v>1398</v>
      </c>
    </row>
    <row r="256" spans="1:10" ht="15.75" customHeight="1" x14ac:dyDescent="0.25">
      <c r="A256" s="22" t="s">
        <v>1647</v>
      </c>
      <c r="B256" s="22" t="s">
        <v>1180</v>
      </c>
      <c r="C256" s="23" t="s">
        <v>1115</v>
      </c>
      <c r="D256" s="24" t="s">
        <v>1181</v>
      </c>
      <c r="E256" s="24" t="s">
        <v>1183</v>
      </c>
      <c r="F256" s="19"/>
      <c r="G256" s="20" t="s">
        <v>1389</v>
      </c>
      <c r="H256" s="20" t="s">
        <v>1390</v>
      </c>
      <c r="I256" s="19"/>
      <c r="J256" s="21" t="s">
        <v>1398</v>
      </c>
    </row>
    <row r="257" spans="1:10" ht="15.75" customHeight="1" x14ac:dyDescent="0.25">
      <c r="A257" s="16" t="s">
        <v>1648</v>
      </c>
      <c r="B257" s="16" t="s">
        <v>1184</v>
      </c>
      <c r="C257" s="17" t="s">
        <v>1115</v>
      </c>
      <c r="D257" s="18" t="s">
        <v>1185</v>
      </c>
      <c r="E257" s="18" t="s">
        <v>1187</v>
      </c>
      <c r="F257" s="19"/>
      <c r="G257" s="20" t="s">
        <v>1389</v>
      </c>
      <c r="H257" s="20" t="s">
        <v>1390</v>
      </c>
      <c r="I257" s="19"/>
      <c r="J257" s="21" t="s">
        <v>1398</v>
      </c>
    </row>
    <row r="258" spans="1:10" ht="15.75" customHeight="1" x14ac:dyDescent="0.25">
      <c r="A258" s="22" t="s">
        <v>1649</v>
      </c>
      <c r="B258" s="22" t="s">
        <v>1188</v>
      </c>
      <c r="C258" s="23" t="s">
        <v>1115</v>
      </c>
      <c r="D258" s="24" t="s">
        <v>1189</v>
      </c>
      <c r="E258" s="24" t="s">
        <v>1192</v>
      </c>
      <c r="F258" s="19"/>
      <c r="G258" s="20" t="s">
        <v>1389</v>
      </c>
      <c r="H258" s="20" t="s">
        <v>1390</v>
      </c>
      <c r="I258" s="19"/>
      <c r="J258" s="21" t="s">
        <v>1398</v>
      </c>
    </row>
    <row r="259" spans="1:10" ht="15.75" customHeight="1" x14ac:dyDescent="0.25">
      <c r="A259" s="16" t="s">
        <v>1650</v>
      </c>
      <c r="B259" s="16" t="s">
        <v>1193</v>
      </c>
      <c r="C259" s="17" t="s">
        <v>1115</v>
      </c>
      <c r="D259" s="18" t="s">
        <v>1194</v>
      </c>
      <c r="E259" s="18" t="s">
        <v>1196</v>
      </c>
      <c r="F259" s="19"/>
      <c r="G259" s="20" t="s">
        <v>1389</v>
      </c>
      <c r="H259" s="20" t="s">
        <v>1390</v>
      </c>
      <c r="I259" s="19"/>
      <c r="J259" s="21" t="s">
        <v>1398</v>
      </c>
    </row>
    <row r="260" spans="1:10" ht="15.75" customHeight="1" x14ac:dyDescent="0.25">
      <c r="A260" s="22" t="s">
        <v>1651</v>
      </c>
      <c r="B260" s="22" t="s">
        <v>1197</v>
      </c>
      <c r="C260" s="23" t="s">
        <v>1115</v>
      </c>
      <c r="D260" s="24" t="s">
        <v>1198</v>
      </c>
      <c r="E260" s="24" t="s">
        <v>1200</v>
      </c>
      <c r="F260" s="19"/>
      <c r="G260" s="20" t="s">
        <v>1389</v>
      </c>
      <c r="H260" s="20" t="s">
        <v>1390</v>
      </c>
      <c r="I260" s="19"/>
      <c r="J260" s="21" t="s">
        <v>1391</v>
      </c>
    </row>
    <row r="261" spans="1:10" ht="15.75" customHeight="1" x14ac:dyDescent="0.25">
      <c r="A261" s="16" t="s">
        <v>1652</v>
      </c>
      <c r="B261" s="16" t="s">
        <v>1201</v>
      </c>
      <c r="C261" s="17" t="s">
        <v>1115</v>
      </c>
      <c r="D261" s="18" t="s">
        <v>1202</v>
      </c>
      <c r="E261" s="18" t="s">
        <v>1204</v>
      </c>
      <c r="F261" s="19"/>
      <c r="G261" s="20" t="s">
        <v>1389</v>
      </c>
      <c r="H261" s="20" t="s">
        <v>1390</v>
      </c>
      <c r="I261" s="19"/>
      <c r="J261" s="21" t="s">
        <v>1391</v>
      </c>
    </row>
    <row r="262" spans="1:10" ht="15.75" customHeight="1" x14ac:dyDescent="0.25">
      <c r="A262" s="22" t="s">
        <v>1653</v>
      </c>
      <c r="B262" s="22" t="s">
        <v>1205</v>
      </c>
      <c r="C262" s="23" t="s">
        <v>1115</v>
      </c>
      <c r="D262" s="24" t="s">
        <v>1206</v>
      </c>
      <c r="E262" s="24" t="s">
        <v>1208</v>
      </c>
      <c r="F262" s="19"/>
      <c r="G262" s="20" t="s">
        <v>1389</v>
      </c>
      <c r="H262" s="20" t="s">
        <v>1390</v>
      </c>
      <c r="I262" s="19"/>
      <c r="J262" s="21" t="s">
        <v>1391</v>
      </c>
    </row>
    <row r="263" spans="1:10" ht="15.75" customHeight="1" x14ac:dyDescent="0.25">
      <c r="A263" s="16" t="s">
        <v>1654</v>
      </c>
      <c r="B263" s="16" t="s">
        <v>1209</v>
      </c>
      <c r="C263" s="17" t="s">
        <v>1115</v>
      </c>
      <c r="D263" s="18" t="s">
        <v>1210</v>
      </c>
      <c r="E263" s="18" t="s">
        <v>1212</v>
      </c>
      <c r="F263" s="19"/>
      <c r="G263" s="20" t="s">
        <v>1389</v>
      </c>
      <c r="H263" s="20" t="s">
        <v>1390</v>
      </c>
      <c r="I263" s="19"/>
      <c r="J263" s="21" t="s">
        <v>1391</v>
      </c>
    </row>
    <row r="264" spans="1:10" ht="15.75" customHeight="1" x14ac:dyDescent="0.25">
      <c r="A264" s="22" t="s">
        <v>1655</v>
      </c>
      <c r="B264" s="22" t="s">
        <v>1213</v>
      </c>
      <c r="C264" s="23" t="s">
        <v>1115</v>
      </c>
      <c r="D264" s="24" t="s">
        <v>1214</v>
      </c>
      <c r="E264" s="24" t="s">
        <v>1217</v>
      </c>
      <c r="F264" s="19"/>
      <c r="G264" s="20" t="s">
        <v>1389</v>
      </c>
      <c r="H264" s="20" t="s">
        <v>1390</v>
      </c>
      <c r="I264" s="19"/>
      <c r="J264" s="21" t="s">
        <v>1398</v>
      </c>
    </row>
    <row r="265" spans="1:10" ht="15.75" customHeight="1" x14ac:dyDescent="0.25">
      <c r="A265" s="16" t="s">
        <v>1656</v>
      </c>
      <c r="B265" s="16" t="s">
        <v>1218</v>
      </c>
      <c r="C265" s="17" t="s">
        <v>1115</v>
      </c>
      <c r="D265" s="18" t="s">
        <v>1219</v>
      </c>
      <c r="E265" s="18" t="s">
        <v>1221</v>
      </c>
      <c r="F265" s="19"/>
      <c r="G265" s="20" t="s">
        <v>1389</v>
      </c>
      <c r="H265" s="20" t="s">
        <v>1390</v>
      </c>
      <c r="I265" s="19"/>
      <c r="J265" s="21" t="s">
        <v>1398</v>
      </c>
    </row>
    <row r="266" spans="1:10" ht="15.75" customHeight="1" x14ac:dyDescent="0.25">
      <c r="A266" s="22" t="s">
        <v>1657</v>
      </c>
      <c r="B266" s="22" t="s">
        <v>1222</v>
      </c>
      <c r="C266" s="23" t="s">
        <v>1115</v>
      </c>
      <c r="D266" s="24" t="s">
        <v>1223</v>
      </c>
      <c r="E266" s="24" t="s">
        <v>1226</v>
      </c>
      <c r="F266" s="19"/>
      <c r="G266" s="20" t="s">
        <v>1389</v>
      </c>
      <c r="H266" s="20" t="s">
        <v>1390</v>
      </c>
      <c r="I266" s="19"/>
      <c r="J266" s="21" t="s">
        <v>1398</v>
      </c>
    </row>
    <row r="267" spans="1:10" ht="15.75" customHeight="1" x14ac:dyDescent="0.25">
      <c r="A267" s="16" t="s">
        <v>1658</v>
      </c>
      <c r="B267" s="16" t="s">
        <v>1227</v>
      </c>
      <c r="C267" s="17" t="s">
        <v>1115</v>
      </c>
      <c r="D267" s="18" t="s">
        <v>1228</v>
      </c>
      <c r="E267" s="18" t="s">
        <v>1230</v>
      </c>
      <c r="F267" s="19"/>
      <c r="G267" s="20" t="s">
        <v>1389</v>
      </c>
      <c r="H267" s="20" t="s">
        <v>1390</v>
      </c>
      <c r="I267" s="19"/>
      <c r="J267" s="21" t="s">
        <v>1398</v>
      </c>
    </row>
    <row r="268" spans="1:10" ht="15.75" customHeight="1" x14ac:dyDescent="0.25">
      <c r="A268" s="22" t="s">
        <v>1659</v>
      </c>
      <c r="B268" s="22" t="s">
        <v>1231</v>
      </c>
      <c r="C268" s="23" t="s">
        <v>1115</v>
      </c>
      <c r="D268" s="24" t="s">
        <v>1232</v>
      </c>
      <c r="E268" s="24" t="s">
        <v>1235</v>
      </c>
      <c r="F268" s="19"/>
      <c r="G268" s="20" t="s">
        <v>1389</v>
      </c>
      <c r="H268" s="20" t="s">
        <v>1390</v>
      </c>
      <c r="I268" s="19"/>
      <c r="J268" s="21" t="s">
        <v>1391</v>
      </c>
    </row>
    <row r="269" spans="1:10" ht="15.75" customHeight="1" x14ac:dyDescent="0.25">
      <c r="A269" s="16" t="s">
        <v>1660</v>
      </c>
      <c r="B269" s="16" t="s">
        <v>1236</v>
      </c>
      <c r="C269" s="17" t="s">
        <v>1115</v>
      </c>
      <c r="D269" s="18" t="s">
        <v>1237</v>
      </c>
      <c r="E269" s="18" t="s">
        <v>1239</v>
      </c>
      <c r="F269" s="19"/>
      <c r="G269" s="20" t="s">
        <v>1389</v>
      </c>
      <c r="H269" s="20" t="s">
        <v>1390</v>
      </c>
      <c r="I269" s="19"/>
      <c r="J269" s="21" t="s">
        <v>1398</v>
      </c>
    </row>
    <row r="270" spans="1:10" ht="15.75" customHeight="1" x14ac:dyDescent="0.25">
      <c r="A270" s="22" t="s">
        <v>1661</v>
      </c>
      <c r="B270" s="22" t="s">
        <v>1240</v>
      </c>
      <c r="C270" s="23" t="s">
        <v>1115</v>
      </c>
      <c r="D270" s="24" t="s">
        <v>1241</v>
      </c>
      <c r="E270" s="24" t="s">
        <v>1243</v>
      </c>
      <c r="F270" s="19"/>
      <c r="G270" s="20" t="s">
        <v>1389</v>
      </c>
      <c r="H270" s="20" t="s">
        <v>1390</v>
      </c>
      <c r="I270" s="19"/>
      <c r="J270" s="21" t="s">
        <v>1398</v>
      </c>
    </row>
    <row r="271" spans="1:10" ht="15.75" customHeight="1" x14ac:dyDescent="0.25">
      <c r="A271" s="16" t="s">
        <v>1662</v>
      </c>
      <c r="B271" s="16" t="s">
        <v>1244</v>
      </c>
      <c r="C271" s="17" t="s">
        <v>1115</v>
      </c>
      <c r="D271" s="18" t="s">
        <v>1245</v>
      </c>
      <c r="E271" s="18" t="s">
        <v>1247</v>
      </c>
      <c r="F271" s="19"/>
      <c r="G271" s="20" t="s">
        <v>1389</v>
      </c>
      <c r="H271" s="20" t="s">
        <v>1390</v>
      </c>
      <c r="I271" s="19"/>
      <c r="J271" s="21" t="s">
        <v>1398</v>
      </c>
    </row>
    <row r="272" spans="1:10" ht="15.75" customHeight="1" x14ac:dyDescent="0.25">
      <c r="A272" s="22" t="s">
        <v>1663</v>
      </c>
      <c r="B272" s="22" t="s">
        <v>1248</v>
      </c>
      <c r="C272" s="23" t="s">
        <v>1115</v>
      </c>
      <c r="D272" s="24" t="s">
        <v>1249</v>
      </c>
      <c r="E272" s="24" t="s">
        <v>1251</v>
      </c>
      <c r="F272" s="19"/>
      <c r="G272" s="20" t="s">
        <v>1389</v>
      </c>
      <c r="H272" s="20" t="s">
        <v>1390</v>
      </c>
      <c r="I272" s="19"/>
      <c r="J272" s="21" t="s">
        <v>1398</v>
      </c>
    </row>
    <row r="273" spans="1:10" ht="15.75" customHeight="1" x14ac:dyDescent="0.25">
      <c r="A273" s="16" t="s">
        <v>1664</v>
      </c>
      <c r="B273" s="16" t="s">
        <v>1252</v>
      </c>
      <c r="C273" s="17" t="s">
        <v>1115</v>
      </c>
      <c r="D273" s="18" t="s">
        <v>1253</v>
      </c>
      <c r="E273" s="18" t="s">
        <v>415</v>
      </c>
      <c r="F273" s="19"/>
      <c r="G273" s="20" t="s">
        <v>1389</v>
      </c>
      <c r="H273" s="20" t="s">
        <v>1390</v>
      </c>
      <c r="I273" s="19"/>
      <c r="J273" s="21" t="s">
        <v>1391</v>
      </c>
    </row>
    <row r="274" spans="1:10" ht="15.75" customHeight="1" x14ac:dyDescent="0.25">
      <c r="A274" s="22" t="s">
        <v>1665</v>
      </c>
      <c r="B274" s="22" t="s">
        <v>1254</v>
      </c>
      <c r="C274" s="23" t="s">
        <v>1115</v>
      </c>
      <c r="D274" s="24" t="s">
        <v>1255</v>
      </c>
      <c r="E274" s="24" t="s">
        <v>1257</v>
      </c>
      <c r="F274" s="19"/>
      <c r="G274" s="20" t="s">
        <v>1389</v>
      </c>
      <c r="H274" s="20" t="s">
        <v>1390</v>
      </c>
      <c r="I274" s="19"/>
      <c r="J274" s="21" t="s">
        <v>1398</v>
      </c>
    </row>
    <row r="275" spans="1:10" ht="15.75" customHeight="1" x14ac:dyDescent="0.25">
      <c r="A275" s="16" t="s">
        <v>1666</v>
      </c>
      <c r="B275" s="16" t="s">
        <v>1258</v>
      </c>
      <c r="C275" s="17" t="s">
        <v>1115</v>
      </c>
      <c r="D275" s="18" t="s">
        <v>1259</v>
      </c>
      <c r="E275" s="18" t="s">
        <v>1262</v>
      </c>
      <c r="F275" s="19"/>
      <c r="G275" s="20" t="s">
        <v>1389</v>
      </c>
      <c r="H275" s="20" t="s">
        <v>1390</v>
      </c>
      <c r="I275" s="19"/>
      <c r="J275" s="21" t="s">
        <v>1398</v>
      </c>
    </row>
    <row r="276" spans="1:10" ht="15.75" customHeight="1" x14ac:dyDescent="0.25">
      <c r="A276" s="22" t="s">
        <v>1667</v>
      </c>
      <c r="B276" s="22" t="s">
        <v>1263</v>
      </c>
      <c r="C276" s="23" t="s">
        <v>1115</v>
      </c>
      <c r="D276" s="24" t="s">
        <v>1264</v>
      </c>
      <c r="E276" s="24" t="s">
        <v>1266</v>
      </c>
      <c r="F276" s="19"/>
      <c r="G276" s="20" t="s">
        <v>1389</v>
      </c>
      <c r="H276" s="20" t="s">
        <v>1390</v>
      </c>
      <c r="I276" s="19"/>
      <c r="J276" s="21" t="s">
        <v>1398</v>
      </c>
    </row>
    <row r="277" spans="1:10" ht="15.75" customHeight="1" x14ac:dyDescent="0.25">
      <c r="A277" s="16" t="s">
        <v>1668</v>
      </c>
      <c r="B277" s="16" t="s">
        <v>1267</v>
      </c>
      <c r="C277" s="17" t="s">
        <v>1115</v>
      </c>
      <c r="D277" s="18" t="s">
        <v>1268</v>
      </c>
      <c r="E277" s="18" t="s">
        <v>1271</v>
      </c>
      <c r="F277" s="19"/>
      <c r="G277" s="20" t="s">
        <v>1389</v>
      </c>
      <c r="H277" s="20" t="s">
        <v>1390</v>
      </c>
      <c r="I277" s="19"/>
      <c r="J277" s="21" t="s">
        <v>1391</v>
      </c>
    </row>
    <row r="278" spans="1:10" ht="15.75" customHeight="1" x14ac:dyDescent="0.25">
      <c r="A278" s="22" t="s">
        <v>1669</v>
      </c>
      <c r="B278" s="22" t="s">
        <v>1272</v>
      </c>
      <c r="C278" s="23" t="s">
        <v>1115</v>
      </c>
      <c r="D278" s="24" t="s">
        <v>1273</v>
      </c>
      <c r="E278" s="24" t="s">
        <v>1275</v>
      </c>
      <c r="F278" s="19"/>
      <c r="G278" s="20" t="s">
        <v>1389</v>
      </c>
      <c r="H278" s="20" t="s">
        <v>1390</v>
      </c>
      <c r="I278" s="19"/>
      <c r="J278" s="21" t="s">
        <v>1398</v>
      </c>
    </row>
    <row r="279" spans="1:10" ht="15.75" customHeight="1" x14ac:dyDescent="0.25">
      <c r="A279" s="16" t="s">
        <v>1670</v>
      </c>
      <c r="B279" s="16" t="s">
        <v>1276</v>
      </c>
      <c r="C279" s="17" t="s">
        <v>1115</v>
      </c>
      <c r="D279" s="18" t="s">
        <v>1277</v>
      </c>
      <c r="E279" s="18" t="s">
        <v>1279</v>
      </c>
      <c r="F279" s="19"/>
      <c r="G279" s="20" t="s">
        <v>1389</v>
      </c>
      <c r="H279" s="20" t="s">
        <v>1390</v>
      </c>
      <c r="I279" s="19"/>
      <c r="J279" s="21" t="s">
        <v>1398</v>
      </c>
    </row>
    <row r="280" spans="1:10" ht="15.75" customHeight="1" x14ac:dyDescent="0.25">
      <c r="A280" s="22" t="s">
        <v>1671</v>
      </c>
      <c r="B280" s="22" t="s">
        <v>1280</v>
      </c>
      <c r="C280" s="23" t="s">
        <v>1115</v>
      </c>
      <c r="D280" s="24" t="s">
        <v>1281</v>
      </c>
      <c r="E280" s="24" t="s">
        <v>1283</v>
      </c>
      <c r="F280" s="19"/>
      <c r="G280" s="20" t="s">
        <v>1389</v>
      </c>
      <c r="H280" s="20" t="s">
        <v>1390</v>
      </c>
      <c r="I280" s="19"/>
      <c r="J280" s="21" t="s">
        <v>1398</v>
      </c>
    </row>
    <row r="281" spans="1:10" ht="15.75" customHeight="1" x14ac:dyDescent="0.25">
      <c r="A281" s="16" t="s">
        <v>1672</v>
      </c>
      <c r="B281" s="16" t="s">
        <v>1284</v>
      </c>
      <c r="C281" s="17" t="s">
        <v>1115</v>
      </c>
      <c r="D281" s="18" t="s">
        <v>1285</v>
      </c>
      <c r="E281" s="18" t="s">
        <v>1287</v>
      </c>
      <c r="F281" s="19"/>
      <c r="G281" s="20" t="s">
        <v>1389</v>
      </c>
      <c r="H281" s="20" t="s">
        <v>1390</v>
      </c>
      <c r="I281" s="19"/>
      <c r="J281" s="21" t="s">
        <v>1400</v>
      </c>
    </row>
    <row r="282" spans="1:10" ht="15.75" customHeight="1" x14ac:dyDescent="0.25">
      <c r="A282" s="22" t="s">
        <v>1673</v>
      </c>
      <c r="B282" s="22" t="s">
        <v>1288</v>
      </c>
      <c r="C282" s="23" t="s">
        <v>1115</v>
      </c>
      <c r="D282" s="24" t="s">
        <v>1289</v>
      </c>
      <c r="E282" s="24" t="s">
        <v>1292</v>
      </c>
      <c r="F282" s="19"/>
      <c r="G282" s="20" t="s">
        <v>1389</v>
      </c>
      <c r="H282" s="20" t="s">
        <v>1390</v>
      </c>
      <c r="I282" s="19"/>
      <c r="J282" s="21" t="s">
        <v>1398</v>
      </c>
    </row>
    <row r="283" spans="1:10" ht="15.75" customHeight="1" x14ac:dyDescent="0.25">
      <c r="A283" s="16" t="s">
        <v>1674</v>
      </c>
      <c r="B283" s="16" t="s">
        <v>1293</v>
      </c>
      <c r="C283" s="17" t="s">
        <v>1115</v>
      </c>
      <c r="D283" s="18" t="s">
        <v>1294</v>
      </c>
      <c r="E283" s="18" t="s">
        <v>1296</v>
      </c>
      <c r="F283" s="19"/>
      <c r="G283" s="20" t="s">
        <v>1389</v>
      </c>
      <c r="H283" s="20" t="s">
        <v>1390</v>
      </c>
      <c r="I283" s="19"/>
      <c r="J283" s="21" t="s">
        <v>1398</v>
      </c>
    </row>
    <row r="284" spans="1:10" ht="15.75" customHeight="1" x14ac:dyDescent="0.25">
      <c r="A284" s="22" t="s">
        <v>1675</v>
      </c>
      <c r="B284" s="22" t="s">
        <v>1297</v>
      </c>
      <c r="C284" s="23" t="s">
        <v>1115</v>
      </c>
      <c r="D284" s="24" t="s">
        <v>1298</v>
      </c>
      <c r="E284" s="24" t="s">
        <v>1300</v>
      </c>
      <c r="F284" s="19"/>
      <c r="G284" s="20" t="s">
        <v>1389</v>
      </c>
      <c r="H284" s="20" t="s">
        <v>1390</v>
      </c>
      <c r="I284" s="19"/>
      <c r="J284" s="21" t="s">
        <v>1398</v>
      </c>
    </row>
    <row r="285" spans="1:10" ht="15.75" customHeight="1" x14ac:dyDescent="0.25">
      <c r="A285" s="16" t="s">
        <v>1676</v>
      </c>
      <c r="B285" s="16" t="s">
        <v>1301</v>
      </c>
      <c r="C285" s="17" t="s">
        <v>1115</v>
      </c>
      <c r="D285" s="18" t="s">
        <v>1302</v>
      </c>
      <c r="E285" s="18" t="s">
        <v>1304</v>
      </c>
      <c r="F285" s="19"/>
      <c r="G285" s="20" t="s">
        <v>1389</v>
      </c>
      <c r="H285" s="20" t="s">
        <v>1390</v>
      </c>
      <c r="I285" s="19"/>
      <c r="J285" s="21" t="s">
        <v>1398</v>
      </c>
    </row>
    <row r="286" spans="1:10" ht="15.75" customHeight="1" x14ac:dyDescent="0.25">
      <c r="A286" s="22" t="s">
        <v>1677</v>
      </c>
      <c r="B286" s="22" t="s">
        <v>1305</v>
      </c>
      <c r="C286" s="23" t="s">
        <v>1115</v>
      </c>
      <c r="D286" s="24" t="s">
        <v>1306</v>
      </c>
      <c r="E286" s="24" t="s">
        <v>1308</v>
      </c>
      <c r="F286" s="19"/>
      <c r="G286" s="20" t="s">
        <v>1389</v>
      </c>
      <c r="H286" s="20" t="s">
        <v>1390</v>
      </c>
      <c r="I286" s="19"/>
      <c r="J286" s="21" t="s">
        <v>1398</v>
      </c>
    </row>
    <row r="287" spans="1:10" ht="15.75" customHeight="1" x14ac:dyDescent="0.25">
      <c r="A287" s="16" t="s">
        <v>1678</v>
      </c>
      <c r="B287" s="16" t="s">
        <v>1309</v>
      </c>
      <c r="C287" s="17" t="s">
        <v>1115</v>
      </c>
      <c r="D287" s="18" t="s">
        <v>1310</v>
      </c>
      <c r="E287" s="18" t="s">
        <v>1312</v>
      </c>
      <c r="F287" s="19"/>
      <c r="G287" s="20" t="s">
        <v>1389</v>
      </c>
      <c r="H287" s="20" t="s">
        <v>1390</v>
      </c>
      <c r="I287" s="19"/>
      <c r="J287" s="21" t="s">
        <v>1398</v>
      </c>
    </row>
    <row r="288" spans="1:10" ht="15.75" customHeight="1" x14ac:dyDescent="0.25">
      <c r="A288" s="22" t="s">
        <v>1679</v>
      </c>
      <c r="B288" s="22" t="s">
        <v>1313</v>
      </c>
      <c r="C288" s="23" t="s">
        <v>1115</v>
      </c>
      <c r="D288" s="24" t="s">
        <v>1314</v>
      </c>
      <c r="E288" s="24" t="s">
        <v>1316</v>
      </c>
      <c r="F288" s="19"/>
      <c r="G288" s="20" t="s">
        <v>1389</v>
      </c>
      <c r="H288" s="20" t="s">
        <v>1390</v>
      </c>
      <c r="I288" s="19"/>
      <c r="J288" s="21" t="s">
        <v>1398</v>
      </c>
    </row>
    <row r="289" spans="1:10" ht="15.75" customHeight="1" x14ac:dyDescent="0.25">
      <c r="A289" s="16" t="s">
        <v>1680</v>
      </c>
      <c r="B289" s="16" t="s">
        <v>1317</v>
      </c>
      <c r="C289" s="17" t="s">
        <v>1115</v>
      </c>
      <c r="D289" s="18" t="s">
        <v>1318</v>
      </c>
      <c r="E289" s="18" t="s">
        <v>1320</v>
      </c>
      <c r="F289" s="19"/>
      <c r="G289" s="20" t="s">
        <v>1389</v>
      </c>
      <c r="H289" s="20" t="s">
        <v>1390</v>
      </c>
      <c r="I289" s="19"/>
      <c r="J289" s="21" t="s">
        <v>1398</v>
      </c>
    </row>
    <row r="290" spans="1:10" ht="15.75" customHeight="1" x14ac:dyDescent="0.25">
      <c r="A290" s="22" t="s">
        <v>1681</v>
      </c>
      <c r="B290" s="22" t="s">
        <v>1321</v>
      </c>
      <c r="C290" s="23" t="s">
        <v>1115</v>
      </c>
      <c r="D290" s="24" t="s">
        <v>1322</v>
      </c>
      <c r="E290" s="24" t="s">
        <v>1324</v>
      </c>
      <c r="F290" s="19"/>
      <c r="G290" s="20" t="s">
        <v>1389</v>
      </c>
      <c r="H290" s="20" t="s">
        <v>1390</v>
      </c>
      <c r="I290" s="19"/>
      <c r="J290" s="21" t="s">
        <v>1398</v>
      </c>
    </row>
    <row r="291" spans="1:10" ht="15.75" customHeight="1" x14ac:dyDescent="0.25">
      <c r="A291" s="16" t="s">
        <v>1682</v>
      </c>
      <c r="B291" s="16" t="s">
        <v>1325</v>
      </c>
      <c r="C291" s="17" t="s">
        <v>1115</v>
      </c>
      <c r="D291" s="18" t="s">
        <v>1326</v>
      </c>
      <c r="E291" s="18" t="s">
        <v>1328</v>
      </c>
      <c r="F291" s="19"/>
      <c r="G291" s="20" t="s">
        <v>1389</v>
      </c>
      <c r="H291" s="20" t="s">
        <v>1390</v>
      </c>
      <c r="I291" s="19"/>
      <c r="J291" s="21" t="s">
        <v>1398</v>
      </c>
    </row>
    <row r="292" spans="1:10" ht="15.75" customHeight="1" x14ac:dyDescent="0.25">
      <c r="A292" s="22" t="s">
        <v>1683</v>
      </c>
      <c r="B292" s="22" t="s">
        <v>1330</v>
      </c>
      <c r="C292" s="23" t="s">
        <v>1329</v>
      </c>
      <c r="D292" s="24" t="s">
        <v>61</v>
      </c>
      <c r="E292" s="24" t="s">
        <v>1333</v>
      </c>
      <c r="F292" s="19"/>
      <c r="G292" s="20" t="s">
        <v>1389</v>
      </c>
      <c r="H292" s="20" t="s">
        <v>1390</v>
      </c>
      <c r="I292" s="19"/>
      <c r="J292" s="21" t="s">
        <v>1398</v>
      </c>
    </row>
    <row r="293" spans="1:10" ht="15.75" customHeight="1" x14ac:dyDescent="0.25">
      <c r="A293" s="16" t="s">
        <v>1684</v>
      </c>
      <c r="B293" s="16" t="s">
        <v>1334</v>
      </c>
      <c r="C293" s="17" t="s">
        <v>1329</v>
      </c>
      <c r="D293" s="18" t="s">
        <v>1335</v>
      </c>
      <c r="E293" s="18" t="s">
        <v>1338</v>
      </c>
      <c r="F293" s="19"/>
      <c r="G293" s="20" t="s">
        <v>1389</v>
      </c>
      <c r="H293" s="20" t="s">
        <v>1390</v>
      </c>
      <c r="I293" s="19"/>
      <c r="J293" s="21" t="s">
        <v>1391</v>
      </c>
    </row>
    <row r="294" spans="1:10" ht="15.75" customHeight="1" x14ac:dyDescent="0.25">
      <c r="A294" s="22" t="s">
        <v>1685</v>
      </c>
      <c r="B294" s="22" t="s">
        <v>1339</v>
      </c>
      <c r="C294" s="23" t="s">
        <v>1329</v>
      </c>
      <c r="D294" s="24" t="s">
        <v>1340</v>
      </c>
      <c r="E294" s="24" t="s">
        <v>1343</v>
      </c>
      <c r="F294" s="19"/>
      <c r="G294" s="20" t="s">
        <v>1389</v>
      </c>
      <c r="H294" s="20" t="s">
        <v>1390</v>
      </c>
      <c r="I294" s="19"/>
      <c r="J294" s="21" t="s">
        <v>1391</v>
      </c>
    </row>
    <row r="295" spans="1:10" ht="15.75" customHeight="1" x14ac:dyDescent="0.25">
      <c r="A295" s="16" t="s">
        <v>1686</v>
      </c>
      <c r="B295" s="16" t="s">
        <v>1344</v>
      </c>
      <c r="C295" s="17" t="s">
        <v>1329</v>
      </c>
      <c r="D295" s="18" t="s">
        <v>1345</v>
      </c>
      <c r="E295" s="18" t="s">
        <v>1348</v>
      </c>
      <c r="F295" s="19"/>
      <c r="G295" s="20" t="s">
        <v>1389</v>
      </c>
      <c r="H295" s="20" t="s">
        <v>1390</v>
      </c>
      <c r="I295" s="19"/>
      <c r="J295" s="21" t="s">
        <v>1391</v>
      </c>
    </row>
    <row r="296" spans="1:10" ht="15.75" customHeight="1" x14ac:dyDescent="0.25">
      <c r="A296" s="22" t="s">
        <v>1687</v>
      </c>
      <c r="B296" s="22" t="s">
        <v>1349</v>
      </c>
      <c r="C296" s="23" t="s">
        <v>1329</v>
      </c>
      <c r="D296" s="24" t="s">
        <v>1350</v>
      </c>
      <c r="E296" s="24" t="s">
        <v>1353</v>
      </c>
      <c r="F296" s="19"/>
      <c r="G296" s="20" t="s">
        <v>1389</v>
      </c>
      <c r="H296" s="20" t="s">
        <v>1390</v>
      </c>
      <c r="I296" s="19"/>
      <c r="J296" s="21" t="s">
        <v>1398</v>
      </c>
    </row>
    <row r="297" spans="1:10" ht="15.75" customHeight="1" x14ac:dyDescent="0.25">
      <c r="A297" s="16" t="s">
        <v>1688</v>
      </c>
      <c r="B297" s="16" t="s">
        <v>1354</v>
      </c>
      <c r="C297" s="17" t="s">
        <v>1329</v>
      </c>
      <c r="D297" s="18" t="s">
        <v>1355</v>
      </c>
      <c r="E297" s="18" t="s">
        <v>1357</v>
      </c>
      <c r="F297" s="19"/>
      <c r="G297" s="20" t="s">
        <v>1389</v>
      </c>
      <c r="H297" s="20" t="s">
        <v>1390</v>
      </c>
      <c r="I297" s="19"/>
      <c r="J297" s="21" t="s">
        <v>1398</v>
      </c>
    </row>
    <row r="298" spans="1:10" ht="15.75" customHeight="1" x14ac:dyDescent="0.25">
      <c r="A298" s="22" t="s">
        <v>1689</v>
      </c>
      <c r="B298" s="22" t="s">
        <v>1358</v>
      </c>
      <c r="C298" s="23" t="s">
        <v>1329</v>
      </c>
      <c r="D298" s="24" t="s">
        <v>1359</v>
      </c>
      <c r="E298" s="24" t="s">
        <v>1362</v>
      </c>
      <c r="F298" s="19"/>
      <c r="G298" s="20" t="s">
        <v>1389</v>
      </c>
      <c r="H298" s="20" t="s">
        <v>1390</v>
      </c>
      <c r="I298" s="19"/>
      <c r="J298" s="21" t="s">
        <v>1398</v>
      </c>
    </row>
    <row r="299" spans="1:10" ht="15.75" customHeight="1" x14ac:dyDescent="0.25">
      <c r="A299" s="16" t="s">
        <v>1690</v>
      </c>
      <c r="B299" s="16" t="s">
        <v>1363</v>
      </c>
      <c r="C299" s="17" t="s">
        <v>1329</v>
      </c>
      <c r="D299" s="18" t="s">
        <v>1364</v>
      </c>
      <c r="E299" s="18" t="s">
        <v>1367</v>
      </c>
      <c r="F299" s="19"/>
      <c r="G299" s="20" t="s">
        <v>1389</v>
      </c>
      <c r="H299" s="20" t="s">
        <v>1390</v>
      </c>
      <c r="I299" s="19"/>
      <c r="J299" s="21" t="s">
        <v>1398</v>
      </c>
    </row>
    <row r="300" spans="1:10" ht="15.75" customHeight="1" x14ac:dyDescent="0.25">
      <c r="A300" s="22" t="s">
        <v>1691</v>
      </c>
      <c r="B300" s="22" t="s">
        <v>1368</v>
      </c>
      <c r="C300" s="23" t="s">
        <v>1329</v>
      </c>
      <c r="D300" s="24" t="s">
        <v>1369</v>
      </c>
      <c r="E300" s="24" t="s">
        <v>1371</v>
      </c>
      <c r="F300" s="19"/>
      <c r="G300" s="20" t="s">
        <v>1389</v>
      </c>
      <c r="H300" s="20" t="s">
        <v>1390</v>
      </c>
      <c r="I300" s="19"/>
      <c r="J300" s="21" t="s">
        <v>1398</v>
      </c>
    </row>
    <row r="301" spans="1:10" ht="15.75" customHeight="1" x14ac:dyDescent="0.25">
      <c r="A301" s="16" t="s">
        <v>1692</v>
      </c>
      <c r="B301" s="16" t="s">
        <v>1372</v>
      </c>
      <c r="C301" s="17" t="s">
        <v>1329</v>
      </c>
      <c r="D301" s="18" t="s">
        <v>1373</v>
      </c>
      <c r="E301" s="18" t="s">
        <v>1376</v>
      </c>
      <c r="F301" s="19"/>
      <c r="G301" s="20" t="s">
        <v>1389</v>
      </c>
      <c r="H301" s="20" t="s">
        <v>1390</v>
      </c>
      <c r="I301" s="19"/>
      <c r="J301" s="21" t="s">
        <v>1391</v>
      </c>
    </row>
    <row r="302" spans="1:10" ht="15.75" customHeight="1" x14ac:dyDescent="0.25">
      <c r="A302" s="22" t="s">
        <v>1693</v>
      </c>
      <c r="B302" s="22" t="s">
        <v>1377</v>
      </c>
      <c r="C302" s="23" t="s">
        <v>1329</v>
      </c>
      <c r="D302" s="24" t="s">
        <v>1378</v>
      </c>
      <c r="E302" s="24" t="s">
        <v>1380</v>
      </c>
      <c r="F302" s="19"/>
      <c r="G302" s="20" t="s">
        <v>1389</v>
      </c>
      <c r="H302" s="20" t="s">
        <v>1390</v>
      </c>
      <c r="I302" s="19"/>
      <c r="J302" s="21" t="s">
        <v>1398</v>
      </c>
    </row>
  </sheetData>
  <autoFilter ref="A2:J2" xr:uid="{00000000-0009-0000-0000-000002000000}"/>
  <mergeCells count="1">
    <mergeCell ref="A1:J1"/>
  </mergeCells>
  <conditionalFormatting sqref="G3:G302">
    <cfRule type="cellIs" dxfId="5" priority="2" operator="equal">
      <formula>"Requested"</formula>
    </cfRule>
    <cfRule type="cellIs" dxfId="4" priority="3" operator="equal">
      <formula>"Received"</formula>
    </cfRule>
    <cfRule type="cellIs" dxfId="3" priority="4" operator="equal">
      <formula>"In Review"</formula>
    </cfRule>
    <cfRule type="cellIs" dxfId="2" priority="5" operator="equal">
      <formula>"Accepted"</formula>
    </cfRule>
    <cfRule type="cellIs" dxfId="1" priority="6" operator="equal">
      <formula>"Rejected"</formula>
    </cfRule>
  </conditionalFormatting>
  <conditionalFormatting sqref="H3:H302">
    <cfRule type="expression" dxfId="0" priority="7">
      <formula>AND(H3&lt;TODAY(),H3&lt;&gt;"",G3&lt;&gt;"Accepted",G3&lt;&gt;"Received")</formula>
    </cfRule>
  </conditionalFormatting>
  <dataValidations count="1">
    <dataValidation type="list" allowBlank="1" showErrorMessage="1" errorTitle="Invalid entry" error="Please choose from the dropdown list." sqref="G3:G302" xr:uid="{00000000-0002-0000-0200-000000000000}">
      <formula1>"Requested,Received,In Review,Accepted,Rejected"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T28"/>
  <sheetViews>
    <sheetView showGridLines="0" topLeftCell="A36" zoomScaleNormal="100" workbookViewId="0">
      <selection sqref="A1:R2"/>
    </sheetView>
  </sheetViews>
  <sheetFormatPr defaultColWidth="8.7109375" defaultRowHeight="15" x14ac:dyDescent="0.25"/>
  <cols>
    <col min="1" max="1" width="22" customWidth="1"/>
    <col min="2" max="2" width="10" customWidth="1"/>
    <col min="3" max="3" width="16" customWidth="1"/>
    <col min="4" max="9" width="10" customWidth="1"/>
    <col min="10" max="10" width="30" customWidth="1"/>
    <col min="11" max="12" width="8" customWidth="1"/>
    <col min="13" max="15" width="12" customWidth="1"/>
    <col min="16" max="16" width="14" customWidth="1"/>
  </cols>
  <sheetData>
    <row r="1" spans="1:20" ht="25.5" customHeight="1" x14ac:dyDescent="0.25">
      <c r="A1" s="93" t="s">
        <v>1694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20" ht="25.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20" ht="6" customHeight="1" x14ac:dyDescent="0.25">
      <c r="A3" s="53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20" ht="21.75" customHeight="1" x14ac:dyDescent="0.25">
      <c r="A4" s="89" t="s">
        <v>33</v>
      </c>
      <c r="B4" s="52"/>
      <c r="C4" s="52"/>
      <c r="D4" s="52"/>
      <c r="E4" s="97" t="s">
        <v>34</v>
      </c>
      <c r="F4" s="52"/>
      <c r="G4" s="52"/>
      <c r="H4" s="52"/>
      <c r="I4" s="90" t="s">
        <v>35</v>
      </c>
      <c r="J4" s="52"/>
      <c r="K4" s="52"/>
      <c r="L4" s="52"/>
      <c r="M4" s="91" t="s">
        <v>1695</v>
      </c>
      <c r="N4" s="52"/>
      <c r="O4" s="52"/>
      <c r="P4" s="52"/>
      <c r="Q4" s="99" t="s">
        <v>37</v>
      </c>
      <c r="R4" s="52"/>
      <c r="S4" s="52"/>
      <c r="T4" s="52"/>
    </row>
    <row r="5" spans="1:20" ht="36" customHeight="1" x14ac:dyDescent="0.25">
      <c r="A5" s="87">
        <f>COUNTIF('📋 Controls'!A3:A302,"&lt;&gt;")</f>
        <v>300</v>
      </c>
      <c r="B5" s="52"/>
      <c r="C5" s="52"/>
      <c r="D5" s="52"/>
      <c r="E5" s="94">
        <f>COUNTIF('📋 Controls'!I3:I302,"Implemented")</f>
        <v>0</v>
      </c>
      <c r="F5" s="52"/>
      <c r="G5" s="52"/>
      <c r="H5" s="52"/>
      <c r="I5" s="103">
        <f>IFERROR(COUNTIF('📋 Controls'!I3:I302,"Implemented")/COUNTIF('📋 Controls'!A3:A302,"&lt;&gt;"),0)</f>
        <v>0</v>
      </c>
      <c r="J5" s="52"/>
      <c r="K5" s="52"/>
      <c r="L5" s="52"/>
      <c r="M5" s="95">
        <f>IFERROR(COUNTIF('📋 Controls'!N3:N302,"Yes")/COUNTIF('📋 Controls'!A3:A302,"&lt;&gt;"),0)</f>
        <v>0</v>
      </c>
      <c r="N5" s="52"/>
      <c r="O5" s="52"/>
      <c r="P5" s="52"/>
      <c r="Q5" s="98">
        <f>COUNTIFS('📋 Controls'!K3:K302,"Critical",'📋 Controls'!I3:I302,"&lt;&gt;Implemented")+COUNTIFS('📋 Controls'!K3:K302,"High",'📋 Controls'!I3:I302,"&lt;&gt;Implemented")</f>
        <v>104</v>
      </c>
      <c r="R5" s="52"/>
      <c r="S5" s="52"/>
      <c r="T5" s="52"/>
    </row>
    <row r="6" spans="1:20" ht="13.5" customHeight="1" x14ac:dyDescent="0.25">
      <c r="A6" s="96"/>
      <c r="B6" s="52"/>
      <c r="C6" s="52"/>
      <c r="D6" s="52"/>
      <c r="E6" s="100"/>
      <c r="F6" s="52"/>
      <c r="G6" s="52"/>
      <c r="H6" s="52"/>
      <c r="I6" s="92"/>
      <c r="J6" s="52"/>
      <c r="K6" s="52"/>
      <c r="L6" s="52"/>
      <c r="M6" s="101"/>
      <c r="N6" s="52"/>
      <c r="O6" s="52"/>
      <c r="P6" s="52"/>
      <c r="Q6" s="102"/>
      <c r="R6" s="52"/>
      <c r="S6" s="52"/>
      <c r="T6" s="52"/>
    </row>
    <row r="7" spans="1:20" ht="7.5" customHeight="1" x14ac:dyDescent="0.25"/>
    <row r="8" spans="1:20" ht="25.5" customHeight="1" x14ac:dyDescent="0.25">
      <c r="A8" s="88" t="s">
        <v>1696</v>
      </c>
      <c r="B8" s="49"/>
      <c r="C8" s="49"/>
      <c r="D8" s="49"/>
      <c r="E8" s="49"/>
      <c r="F8" s="49"/>
      <c r="G8" s="49"/>
      <c r="H8" s="49"/>
      <c r="J8" s="88" t="s">
        <v>1697</v>
      </c>
      <c r="K8" s="49"/>
      <c r="L8" s="49"/>
      <c r="M8" s="49"/>
      <c r="N8" s="49"/>
      <c r="O8" s="49"/>
      <c r="P8" s="49"/>
      <c r="Q8" s="49"/>
      <c r="R8" s="49"/>
      <c r="S8" s="49"/>
      <c r="T8" s="49"/>
    </row>
    <row r="9" spans="1:20" ht="19.5" customHeight="1" x14ac:dyDescent="0.25">
      <c r="A9" s="25" t="s">
        <v>1384</v>
      </c>
      <c r="B9" s="25" t="s">
        <v>1698</v>
      </c>
      <c r="C9" s="25" t="s">
        <v>1699</v>
      </c>
      <c r="J9" s="26" t="s">
        <v>1700</v>
      </c>
      <c r="K9" s="26" t="s">
        <v>1701</v>
      </c>
      <c r="L9" s="26" t="s">
        <v>1702</v>
      </c>
      <c r="M9" s="26" t="s">
        <v>66</v>
      </c>
      <c r="N9" s="26" t="s">
        <v>34</v>
      </c>
      <c r="O9" s="26" t="s">
        <v>1703</v>
      </c>
      <c r="P9" s="26" t="s">
        <v>1704</v>
      </c>
    </row>
    <row r="10" spans="1:20" ht="18" customHeight="1" x14ac:dyDescent="0.25">
      <c r="A10" s="27" t="s">
        <v>66</v>
      </c>
      <c r="B10" s="28">
        <f>COUNTIF('📋 Controls'!I3:I302,"Not Started")</f>
        <v>300</v>
      </c>
      <c r="C10" s="29">
        <f>IFERROR(B10/COUNTIF('📋 Controls'!A3:A302,"&lt;&gt;"),0)</f>
        <v>1</v>
      </c>
      <c r="J10" s="30" t="s">
        <v>59</v>
      </c>
      <c r="K10" s="31" t="s">
        <v>1705</v>
      </c>
      <c r="L10" s="32">
        <f>COUNTIF('📋 Controls'!A3:A302,"AC - Access Control")</f>
        <v>25</v>
      </c>
      <c r="M10" s="32">
        <f>COUNTIFS('📋 Controls'!A3:A302,"AC - Access Control",'📋 Controls'!I3:I302,"Not Started")</f>
        <v>25</v>
      </c>
      <c r="N10" s="32">
        <f>COUNTIFS('📋 Controls'!A3:A302,"AC - Access Control",'📋 Controls'!I3:I302,"Implemented")</f>
        <v>0</v>
      </c>
      <c r="O10" s="33">
        <f t="shared" ref="O10:O28" si="0">IFERROR(M10/L10,0)</f>
        <v>1</v>
      </c>
      <c r="P10" s="32">
        <f>COUNTIFS('📋 Controls'!A3:A302,"AC - Access Control",'📋 Controls'!N3:N302,"Yes")</f>
        <v>0</v>
      </c>
    </row>
    <row r="11" spans="1:20" ht="18" customHeight="1" x14ac:dyDescent="0.25">
      <c r="A11" s="34" t="s">
        <v>1706</v>
      </c>
      <c r="B11" s="28">
        <f>COUNTIF('📋 Controls'!I3:I302,"Planned")</f>
        <v>0</v>
      </c>
      <c r="C11" s="29">
        <f>IFERROR(B11/COUNTIF('📋 Controls'!A3:A302,"&lt;&gt;"),0)</f>
        <v>0</v>
      </c>
      <c r="J11" s="35" t="s">
        <v>184</v>
      </c>
      <c r="K11" s="36" t="s">
        <v>1707</v>
      </c>
      <c r="L11" s="37">
        <f>COUNTIF('📋 Controls'!A3:A302,"AT - Awareness and Training")</f>
        <v>6</v>
      </c>
      <c r="M11" s="37">
        <f>COUNTIFS('📋 Controls'!A3:A302,"AT - Awareness and Training",'📋 Controls'!I3:I302,"Not Started")</f>
        <v>6</v>
      </c>
      <c r="N11" s="37">
        <f>COUNTIFS('📋 Controls'!A3:A302,"AT - Awareness and Training",'📋 Controls'!I3:I302,"Implemented")</f>
        <v>0</v>
      </c>
      <c r="O11" s="38">
        <f t="shared" si="0"/>
        <v>1</v>
      </c>
      <c r="P11" s="37">
        <f>COUNTIFS('📋 Controls'!A3:A302,"AT - Awareness and Training",'📋 Controls'!N3:N302,"Yes")</f>
        <v>0</v>
      </c>
    </row>
    <row r="12" spans="1:20" ht="18" customHeight="1" x14ac:dyDescent="0.25">
      <c r="A12" s="39" t="s">
        <v>1708</v>
      </c>
      <c r="B12" s="28">
        <f>COUNTIF('📋 Controls'!I3:I302,"Partial")</f>
        <v>0</v>
      </c>
      <c r="C12" s="29">
        <f>IFERROR(B12/COUNTIF('📋 Controls'!A3:A302,"&lt;&gt;"),0)</f>
        <v>0</v>
      </c>
      <c r="J12" s="30" t="s">
        <v>211</v>
      </c>
      <c r="K12" s="31" t="s">
        <v>1709</v>
      </c>
      <c r="L12" s="32">
        <f>COUNTIF('📋 Controls'!A3:A302,"AU - Audit and Accountability")</f>
        <v>16</v>
      </c>
      <c r="M12" s="32">
        <f>COUNTIFS('📋 Controls'!A3:A302,"AU - Audit and Accountability",'📋 Controls'!I3:I302,"Not Started")</f>
        <v>16</v>
      </c>
      <c r="N12" s="32">
        <f>COUNTIFS('📋 Controls'!A3:A302,"AU - Audit and Accountability",'📋 Controls'!I3:I302,"Implemented")</f>
        <v>0</v>
      </c>
      <c r="O12" s="33">
        <f t="shared" si="0"/>
        <v>1</v>
      </c>
      <c r="P12" s="32">
        <f>COUNTIFS('📋 Controls'!A3:A302,"AU - Audit and Accountability",'📋 Controls'!N3:N302,"Yes")</f>
        <v>0</v>
      </c>
    </row>
    <row r="13" spans="1:20" ht="18" customHeight="1" x14ac:dyDescent="0.25">
      <c r="A13" s="40" t="s">
        <v>34</v>
      </c>
      <c r="B13" s="28">
        <f>COUNTIF('📋 Controls'!I3:I302,"Implemented")</f>
        <v>0</v>
      </c>
      <c r="C13" s="29">
        <f>IFERROR(B13/COUNTIF('📋 Controls'!A3:A302,"&lt;&gt;"),0)</f>
        <v>0</v>
      </c>
      <c r="J13" s="35" t="s">
        <v>284</v>
      </c>
      <c r="K13" s="36" t="s">
        <v>1710</v>
      </c>
      <c r="L13" s="37">
        <f>COUNTIF('📋 Controls'!A3:A302,"CA - Assessment, Authorization, and Monitoring")</f>
        <v>9</v>
      </c>
      <c r="M13" s="37">
        <f>COUNTIFS('📋 Controls'!A3:A302,"CA - Assessment, Authorization, and Monitoring",'📋 Controls'!I3:I302,"Not Started")</f>
        <v>9</v>
      </c>
      <c r="N13" s="37">
        <f>COUNTIFS('📋 Controls'!A3:A302,"CA - Assessment, Authorization, and Monitoring",'📋 Controls'!I3:I302,"Implemented")</f>
        <v>0</v>
      </c>
      <c r="O13" s="38">
        <f t="shared" si="0"/>
        <v>1</v>
      </c>
      <c r="P13" s="37">
        <f>COUNTIFS('📋 Controls'!A3:A302,"CA - Assessment, Authorization, and Monitoring",'📋 Controls'!N3:N302,"Yes")</f>
        <v>0</v>
      </c>
    </row>
    <row r="14" spans="1:20" ht="18" customHeight="1" x14ac:dyDescent="0.25">
      <c r="J14" s="30" t="s">
        <v>327</v>
      </c>
      <c r="K14" s="31" t="s">
        <v>1711</v>
      </c>
      <c r="L14" s="32">
        <f>COUNTIF('📋 Controls'!A3:A302,"CM - Configuration Management")</f>
        <v>14</v>
      </c>
      <c r="M14" s="32">
        <f>COUNTIFS('📋 Controls'!A3:A302,"CM - Configuration Management",'📋 Controls'!I3:I302,"Not Started")</f>
        <v>14</v>
      </c>
      <c r="N14" s="32">
        <f>COUNTIFS('📋 Controls'!A3:A302,"CM - Configuration Management",'📋 Controls'!I3:I302,"Implemented")</f>
        <v>0</v>
      </c>
      <c r="O14" s="33">
        <f t="shared" si="0"/>
        <v>1</v>
      </c>
      <c r="P14" s="32">
        <f>COUNTIFS('📋 Controls'!A3:A302,"CM - Configuration Management",'📋 Controls'!N3:N302,"Yes")</f>
        <v>0</v>
      </c>
    </row>
    <row r="15" spans="1:20" ht="18" customHeight="1" x14ac:dyDescent="0.25">
      <c r="A15" s="63" t="s">
        <v>1712</v>
      </c>
      <c r="B15" s="49"/>
      <c r="C15" s="49"/>
      <c r="D15" s="49"/>
      <c r="E15" s="49"/>
      <c r="F15" s="49"/>
      <c r="G15" s="49"/>
      <c r="H15" s="49"/>
      <c r="J15" s="35" t="s">
        <v>393</v>
      </c>
      <c r="K15" s="36" t="s">
        <v>1713</v>
      </c>
      <c r="L15" s="37">
        <f>COUNTIF('📋 Controls'!A3:A302,"CP - Contingency Planning")</f>
        <v>13</v>
      </c>
      <c r="M15" s="37">
        <f>COUNTIFS('📋 Controls'!A3:A302,"CP - Contingency Planning",'📋 Controls'!I3:I302,"Not Started")</f>
        <v>13</v>
      </c>
      <c r="N15" s="37">
        <f>COUNTIFS('📋 Controls'!A3:A302,"CP - Contingency Planning",'📋 Controls'!I3:I302,"Implemented")</f>
        <v>0</v>
      </c>
      <c r="O15" s="38">
        <f t="shared" si="0"/>
        <v>1</v>
      </c>
      <c r="P15" s="37">
        <f>COUNTIFS('📋 Controls'!A3:A302,"CP - Contingency Planning",'📋 Controls'!N3:N302,"Yes")</f>
        <v>0</v>
      </c>
    </row>
    <row r="16" spans="1:20" ht="18" customHeight="1" x14ac:dyDescent="0.25">
      <c r="A16" s="25" t="s">
        <v>51</v>
      </c>
      <c r="B16" s="25" t="s">
        <v>1698</v>
      </c>
      <c r="C16" s="25" t="s">
        <v>1714</v>
      </c>
      <c r="J16" s="30" t="s">
        <v>453</v>
      </c>
      <c r="K16" s="31" t="s">
        <v>1715</v>
      </c>
      <c r="L16" s="32">
        <f>COUNTIF('📋 Controls'!A3:A302,"IA - Identification and Authentication")</f>
        <v>13</v>
      </c>
      <c r="M16" s="32">
        <f>COUNTIFS('📋 Controls'!A3:A302,"IA - Identification and Authentication",'📋 Controls'!I3:I302,"Not Started")</f>
        <v>13</v>
      </c>
      <c r="N16" s="32">
        <f>COUNTIFS('📋 Controls'!A3:A302,"IA - Identification and Authentication",'📋 Controls'!I3:I302,"Implemented")</f>
        <v>0</v>
      </c>
      <c r="O16" s="33">
        <f t="shared" si="0"/>
        <v>1</v>
      </c>
      <c r="P16" s="32">
        <f>COUNTIFS('📋 Controls'!A3:A302,"IA - Identification and Authentication",'📋 Controls'!N3:N302,"Yes")</f>
        <v>0</v>
      </c>
    </row>
    <row r="17" spans="1:16" ht="18" customHeight="1" x14ac:dyDescent="0.25">
      <c r="A17" s="41" t="s">
        <v>463</v>
      </c>
      <c r="B17" s="42">
        <f>COUNTIF('📋 Controls'!K3:K302,"Critical")</f>
        <v>2</v>
      </c>
      <c r="C17" s="43">
        <f>COUNTIFS('📋 Controls'!K3:K302,"Critical",'📋 Controls'!I3:I302,"&lt;&gt;Implemented")</f>
        <v>2</v>
      </c>
      <c r="J17" s="35" t="s">
        <v>510</v>
      </c>
      <c r="K17" s="36" t="s">
        <v>1716</v>
      </c>
      <c r="L17" s="37">
        <f>COUNTIF('📋 Controls'!A3:A302,"IR - Incident Response")</f>
        <v>10</v>
      </c>
      <c r="M17" s="37">
        <f>COUNTIFS('📋 Controls'!A3:A302,"IR - Incident Response",'📋 Controls'!I3:I302,"Not Started")</f>
        <v>10</v>
      </c>
      <c r="N17" s="37">
        <f>COUNTIFS('📋 Controls'!A3:A302,"IR - Incident Response",'📋 Controls'!I3:I302,"Implemented")</f>
        <v>0</v>
      </c>
      <c r="O17" s="38">
        <f t="shared" si="0"/>
        <v>1</v>
      </c>
      <c r="P17" s="37">
        <f>COUNTIFS('📋 Controls'!A3:A302,"IR - Incident Response",'📋 Controls'!N3:N302,"Yes")</f>
        <v>0</v>
      </c>
    </row>
    <row r="18" spans="1:16" ht="18" customHeight="1" x14ac:dyDescent="0.25">
      <c r="A18" s="44" t="s">
        <v>68</v>
      </c>
      <c r="B18" s="42">
        <f>COUNTIF('📋 Controls'!K3:K302,"High")</f>
        <v>102</v>
      </c>
      <c r="C18" s="43">
        <f>COUNTIFS('📋 Controls'!K3:K302,"High",'📋 Controls'!I3:I302,"&lt;&gt;Implemented")</f>
        <v>102</v>
      </c>
      <c r="J18" s="30" t="s">
        <v>554</v>
      </c>
      <c r="K18" s="31" t="s">
        <v>1717</v>
      </c>
      <c r="L18" s="32">
        <f>COUNTIF('📋 Controls'!A3:A302,"MA - Maintenance")</f>
        <v>7</v>
      </c>
      <c r="M18" s="32">
        <f>COUNTIFS('📋 Controls'!A3:A302,"MA - Maintenance",'📋 Controls'!I3:I302,"Not Started")</f>
        <v>7</v>
      </c>
      <c r="N18" s="32">
        <f>COUNTIFS('📋 Controls'!A3:A302,"MA - Maintenance",'📋 Controls'!I3:I302,"Implemented")</f>
        <v>0</v>
      </c>
      <c r="O18" s="33">
        <f t="shared" si="0"/>
        <v>1</v>
      </c>
      <c r="P18" s="32">
        <f>COUNTIFS('📋 Controls'!A3:A302,"MA - Maintenance",'📋 Controls'!N3:N302,"Yes")</f>
        <v>0</v>
      </c>
    </row>
    <row r="19" spans="1:16" ht="18" customHeight="1" x14ac:dyDescent="0.25">
      <c r="A19" s="39" t="s">
        <v>99</v>
      </c>
      <c r="B19" s="42">
        <f>COUNTIF('📋 Controls'!K3:K302,"Med")</f>
        <v>173</v>
      </c>
      <c r="C19" s="43">
        <f>COUNTIFS('📋 Controls'!K3:K302,"Med",'📋 Controls'!I3:I302,"&lt;&gt;Implemented")</f>
        <v>173</v>
      </c>
      <c r="J19" s="35" t="s">
        <v>586</v>
      </c>
      <c r="K19" s="36" t="s">
        <v>1718</v>
      </c>
      <c r="L19" s="37">
        <f>COUNTIF('📋 Controls'!A3:A302,"MP - Media Protection")</f>
        <v>8</v>
      </c>
      <c r="M19" s="37">
        <f>COUNTIFS('📋 Controls'!A3:A302,"MP - Media Protection",'📋 Controls'!I3:I302,"Not Started")</f>
        <v>8</v>
      </c>
      <c r="N19" s="37">
        <f>COUNTIFS('📋 Controls'!A3:A302,"MP - Media Protection",'📋 Controls'!I3:I302,"Implemented")</f>
        <v>0</v>
      </c>
      <c r="O19" s="38">
        <f t="shared" si="0"/>
        <v>1</v>
      </c>
      <c r="P19" s="37">
        <f>COUNTIFS('📋 Controls'!A3:A302,"MP - Media Protection",'📋 Controls'!N3:N302,"Yes")</f>
        <v>0</v>
      </c>
    </row>
    <row r="20" spans="1:16" ht="18" customHeight="1" x14ac:dyDescent="0.25">
      <c r="A20" s="40" t="s">
        <v>105</v>
      </c>
      <c r="B20" s="42">
        <f>COUNTIF('📋 Controls'!K3:K302,"Low")</f>
        <v>23</v>
      </c>
      <c r="C20" s="43">
        <f>COUNTIFS('📋 Controls'!K3:K302,"Low",'📋 Controls'!I3:I302,"&lt;&gt;Implemented")</f>
        <v>23</v>
      </c>
      <c r="J20" s="30" t="s">
        <v>623</v>
      </c>
      <c r="K20" s="31" t="s">
        <v>1719</v>
      </c>
      <c r="L20" s="32">
        <f>COUNTIF('📋 Controls'!A3:A302,"PE - Physical and Environmental Protection")</f>
        <v>23</v>
      </c>
      <c r="M20" s="32">
        <f>COUNTIFS('📋 Controls'!A3:A302,"PE - Physical and Environmental Protection",'📋 Controls'!I3:I302,"Not Started")</f>
        <v>23</v>
      </c>
      <c r="N20" s="32">
        <f>COUNTIFS('📋 Controls'!A3:A302,"PE - Physical and Environmental Protection",'📋 Controls'!I3:I302,"Implemented")</f>
        <v>0</v>
      </c>
      <c r="O20" s="33">
        <f t="shared" si="0"/>
        <v>1</v>
      </c>
      <c r="P20" s="32">
        <f>COUNTIFS('📋 Controls'!A3:A302,"PE - Physical and Environmental Protection",'📋 Controls'!N3:N302,"Yes")</f>
        <v>0</v>
      </c>
    </row>
    <row r="21" spans="1:16" ht="18" customHeight="1" x14ac:dyDescent="0.25">
      <c r="J21" s="35" t="s">
        <v>718</v>
      </c>
      <c r="K21" s="36" t="s">
        <v>1720</v>
      </c>
      <c r="L21" s="37">
        <f>COUNTIF('📋 Controls'!A3:A302,"PL - Planning")</f>
        <v>11</v>
      </c>
      <c r="M21" s="37">
        <f>COUNTIFS('📋 Controls'!A3:A302,"PL - Planning",'📋 Controls'!I3:I302,"Not Started")</f>
        <v>11</v>
      </c>
      <c r="N21" s="37">
        <f>COUNTIFS('📋 Controls'!A3:A302,"PL - Planning",'📋 Controls'!I3:I302,"Implemented")</f>
        <v>0</v>
      </c>
      <c r="O21" s="38">
        <f t="shared" si="0"/>
        <v>1</v>
      </c>
      <c r="P21" s="37">
        <f>COUNTIFS('📋 Controls'!A3:A302,"PL - Planning",'📋 Controls'!N3:N302,"Yes")</f>
        <v>0</v>
      </c>
    </row>
    <row r="22" spans="1:16" ht="25.5" customHeight="1" x14ac:dyDescent="0.25">
      <c r="A22" s="59" t="s">
        <v>1721</v>
      </c>
      <c r="B22" s="49"/>
      <c r="C22" s="49"/>
      <c r="D22" s="49"/>
      <c r="E22" s="49"/>
      <c r="F22" s="49"/>
      <c r="G22" s="49"/>
      <c r="H22" s="49"/>
      <c r="J22" s="30" t="s">
        <v>761</v>
      </c>
      <c r="K22" s="31" t="s">
        <v>1722</v>
      </c>
      <c r="L22" s="32">
        <f>COUNTIF('📋 Controls'!A3:A302,"PM - Program Management")</f>
        <v>32</v>
      </c>
      <c r="M22" s="32">
        <f>COUNTIFS('📋 Controls'!A3:A302,"PM - Program Management",'📋 Controls'!I3:I302,"Not Started")</f>
        <v>32</v>
      </c>
      <c r="N22" s="32">
        <f>COUNTIFS('📋 Controls'!A3:A302,"PM - Program Management",'📋 Controls'!I3:I302,"Implemented")</f>
        <v>0</v>
      </c>
      <c r="O22" s="33">
        <f t="shared" si="0"/>
        <v>1</v>
      </c>
      <c r="P22" s="32">
        <f>COUNTIFS('📋 Controls'!A3:A302,"PM - Program Management",'📋 Controls'!N3:N302,"Yes")</f>
        <v>0</v>
      </c>
    </row>
    <row r="23" spans="1:16" ht="19.5" customHeight="1" x14ac:dyDescent="0.25">
      <c r="A23" s="25" t="s">
        <v>1384</v>
      </c>
      <c r="B23" s="25" t="s">
        <v>1698</v>
      </c>
      <c r="J23" s="35" t="s">
        <v>904</v>
      </c>
      <c r="K23" s="36" t="s">
        <v>1723</v>
      </c>
      <c r="L23" s="37">
        <f>COUNTIF('📋 Controls'!A3:A302,"PS - Personnel Security")</f>
        <v>9</v>
      </c>
      <c r="M23" s="37">
        <f>COUNTIFS('📋 Controls'!A3:A302,"PS - Personnel Security",'📋 Controls'!I3:I302,"Not Started")</f>
        <v>9</v>
      </c>
      <c r="N23" s="37">
        <f>COUNTIFS('📋 Controls'!A3:A302,"PS - Personnel Security",'📋 Controls'!I3:I302,"Implemented")</f>
        <v>0</v>
      </c>
      <c r="O23" s="38">
        <f t="shared" si="0"/>
        <v>1</v>
      </c>
      <c r="P23" s="37">
        <f>COUNTIFS('📋 Controls'!A3:A302,"PS - Personnel Security",'📋 Controls'!N3:N302,"Yes")</f>
        <v>0</v>
      </c>
    </row>
    <row r="24" spans="1:16" ht="18" customHeight="1" x14ac:dyDescent="0.25">
      <c r="A24" s="39" t="s">
        <v>1389</v>
      </c>
      <c r="B24" s="42">
        <f>COUNTIF('📁 Evidence Register'!G3:G302,"Requested")</f>
        <v>300</v>
      </c>
      <c r="J24" s="30" t="s">
        <v>946</v>
      </c>
      <c r="K24" s="31" t="s">
        <v>1724</v>
      </c>
      <c r="L24" s="32">
        <f>COUNTIF('📋 Controls'!A3:A302,"PT - Personally Identifiable Information Processing and Transparency")</f>
        <v>8</v>
      </c>
      <c r="M24" s="32">
        <f>COUNTIFS('📋 Controls'!A3:A302,"PT - Personally Identifiable Information Processing and Transparency",'📋 Controls'!I3:I302,"Not Started")</f>
        <v>8</v>
      </c>
      <c r="N24" s="32">
        <f>COUNTIFS('📋 Controls'!A3:A302,"PT - Personally Identifiable Information Processing and Transparency",'📋 Controls'!I3:I302,"Implemented")</f>
        <v>0</v>
      </c>
      <c r="O24" s="33">
        <f t="shared" si="0"/>
        <v>1</v>
      </c>
      <c r="P24" s="32">
        <f>COUNTIFS('📋 Controls'!A3:A302,"PT - Personally Identifiable Information Processing and Transparency",'📋 Controls'!N3:N302,"Yes")</f>
        <v>0</v>
      </c>
    </row>
    <row r="25" spans="1:16" ht="18" customHeight="1" x14ac:dyDescent="0.25">
      <c r="A25" s="34" t="s">
        <v>1725</v>
      </c>
      <c r="B25" s="42">
        <f>COUNTIF('📁 Evidence Register'!G3:G302,"In Review")</f>
        <v>0</v>
      </c>
      <c r="J25" s="35" t="s">
        <v>981</v>
      </c>
      <c r="K25" s="36" t="s">
        <v>1726</v>
      </c>
      <c r="L25" s="37">
        <f>COUNTIF('📋 Controls'!A3:A302,"RA - Risk Assessment")</f>
        <v>10</v>
      </c>
      <c r="M25" s="37">
        <f>COUNTIFS('📋 Controls'!A3:A302,"RA - Risk Assessment",'📋 Controls'!I3:I302,"Not Started")</f>
        <v>10</v>
      </c>
      <c r="N25" s="37">
        <f>COUNTIFS('📋 Controls'!A3:A302,"RA - Risk Assessment",'📋 Controls'!I3:I302,"Implemented")</f>
        <v>0</v>
      </c>
      <c r="O25" s="38">
        <f t="shared" si="0"/>
        <v>1</v>
      </c>
      <c r="P25" s="37">
        <f>COUNTIFS('📋 Controls'!A3:A302,"RA - Risk Assessment",'📋 Controls'!N3:N302,"Yes")</f>
        <v>0</v>
      </c>
    </row>
    <row r="26" spans="1:16" ht="18" customHeight="1" x14ac:dyDescent="0.25">
      <c r="A26" s="40" t="s">
        <v>1727</v>
      </c>
      <c r="B26" s="42">
        <f>COUNTIF('📁 Evidence Register'!G3:G302,"Received")</f>
        <v>0</v>
      </c>
      <c r="J26" s="30" t="s">
        <v>1025</v>
      </c>
      <c r="K26" s="31" t="s">
        <v>1728</v>
      </c>
      <c r="L26" s="32">
        <f>COUNTIF('📋 Controls'!A3:A302,"SA - System and Services Acquisition")</f>
        <v>24</v>
      </c>
      <c r="M26" s="32">
        <f>COUNTIFS('📋 Controls'!A3:A302,"SA - System and Services Acquisition",'📋 Controls'!I3:I302,"Not Started")</f>
        <v>24</v>
      </c>
      <c r="N26" s="32">
        <f>COUNTIFS('📋 Controls'!A3:A302,"SA - System and Services Acquisition",'📋 Controls'!I3:I302,"Implemented")</f>
        <v>0</v>
      </c>
      <c r="O26" s="33">
        <f t="shared" si="0"/>
        <v>1</v>
      </c>
      <c r="P26" s="32">
        <f>COUNTIFS('📋 Controls'!A3:A302,"SA - System and Services Acquisition",'📋 Controls'!N3:N302,"Yes")</f>
        <v>0</v>
      </c>
    </row>
    <row r="27" spans="1:16" ht="18" customHeight="1" x14ac:dyDescent="0.25">
      <c r="A27" s="40" t="s">
        <v>1729</v>
      </c>
      <c r="B27" s="42">
        <f>COUNTIF('📁 Evidence Register'!G3:G302,"Accepted")</f>
        <v>0</v>
      </c>
      <c r="J27" s="35" t="s">
        <v>1115</v>
      </c>
      <c r="K27" s="36" t="s">
        <v>1730</v>
      </c>
      <c r="L27" s="37">
        <f>COUNTIF('📋 Controls'!A3:A302,"SC - System and Communications Protection")</f>
        <v>51</v>
      </c>
      <c r="M27" s="37">
        <f>COUNTIFS('📋 Controls'!A3:A302,"SC - System and Communications Protection",'📋 Controls'!I3:I302,"Not Started")</f>
        <v>51</v>
      </c>
      <c r="N27" s="37">
        <f>COUNTIFS('📋 Controls'!A3:A302,"SC - System and Communications Protection",'📋 Controls'!I3:I302,"Implemented")</f>
        <v>0</v>
      </c>
      <c r="O27" s="38">
        <f t="shared" si="0"/>
        <v>1</v>
      </c>
      <c r="P27" s="37">
        <f>COUNTIFS('📋 Controls'!A3:A302,"SC - System and Communications Protection",'📋 Controls'!N3:N302,"Yes")</f>
        <v>0</v>
      </c>
    </row>
    <row r="28" spans="1:16" ht="18" customHeight="1" x14ac:dyDescent="0.25">
      <c r="A28" s="27" t="s">
        <v>1731</v>
      </c>
      <c r="B28" s="42">
        <f>COUNTIF('📁 Evidence Register'!G3:G302,"Rejected")</f>
        <v>0</v>
      </c>
      <c r="J28" s="30" t="s">
        <v>1329</v>
      </c>
      <c r="K28" s="31" t="s">
        <v>1732</v>
      </c>
      <c r="L28" s="32">
        <f>COUNTIF('📋 Controls'!A3:A302,"SI - System and Information Integrity")</f>
        <v>11</v>
      </c>
      <c r="M28" s="32">
        <f>COUNTIFS('📋 Controls'!A3:A302,"SI - System and Information Integrity",'📋 Controls'!I3:I302,"Not Started")</f>
        <v>11</v>
      </c>
      <c r="N28" s="32">
        <f>COUNTIFS('📋 Controls'!A3:A302,"SI - System and Information Integrity",'📋 Controls'!I3:I302,"Implemented")</f>
        <v>0</v>
      </c>
      <c r="O28" s="33">
        <f t="shared" si="0"/>
        <v>1</v>
      </c>
      <c r="P28" s="32">
        <f>COUNTIFS('📋 Controls'!A3:A302,"SI - System and Information Integrity",'📋 Controls'!N3:N302,"Yes")</f>
        <v>0</v>
      </c>
    </row>
  </sheetData>
  <mergeCells count="21">
    <mergeCell ref="A22:H22"/>
    <mergeCell ref="Q4:T4"/>
    <mergeCell ref="E6:H6"/>
    <mergeCell ref="M6:P6"/>
    <mergeCell ref="Q6:T6"/>
    <mergeCell ref="I5:L5"/>
    <mergeCell ref="A3:R3"/>
    <mergeCell ref="M4:P4"/>
    <mergeCell ref="I6:L6"/>
    <mergeCell ref="A1:R2"/>
    <mergeCell ref="E5:H5"/>
    <mergeCell ref="M5:P5"/>
    <mergeCell ref="A6:D6"/>
    <mergeCell ref="E4:H4"/>
    <mergeCell ref="Q5:T5"/>
    <mergeCell ref="A5:D5"/>
    <mergeCell ref="J8:T8"/>
    <mergeCell ref="A15:H15"/>
    <mergeCell ref="A4:D4"/>
    <mergeCell ref="I4:L4"/>
    <mergeCell ref="A8:H8"/>
  </mergeCells>
  <conditionalFormatting sqref="O10:O28">
    <cfRule type="colorScale" priority="2">
      <colorScale>
        <cfvo type="num" val="0"/>
        <cfvo type="num" val="0.5"/>
        <cfvo type="num" val="1"/>
        <color rgb="FFC0392B"/>
        <color rgb="FFF39C12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F48"/>
  <sheetViews>
    <sheetView showGridLines="0" zoomScaleNormal="100" workbookViewId="0">
      <pane ySplit="2" topLeftCell="A40" activePane="bottomLeft" state="frozen"/>
      <selection pane="bottomLeft" sqref="A1:F1"/>
    </sheetView>
  </sheetViews>
  <sheetFormatPr defaultColWidth="8.7109375" defaultRowHeight="15" x14ac:dyDescent="0.25"/>
  <cols>
    <col min="1" max="1" width="40" customWidth="1"/>
    <col min="2" max="2" width="52" customWidth="1"/>
    <col min="3" max="3" width="30" customWidth="1"/>
    <col min="4" max="4" width="26" customWidth="1"/>
    <col min="5" max="5" width="18" customWidth="1"/>
  </cols>
  <sheetData>
    <row r="1" spans="1:6" ht="24" customHeight="1" x14ac:dyDescent="0.25">
      <c r="A1" s="104" t="s">
        <v>1733</v>
      </c>
      <c r="B1" s="105"/>
      <c r="C1" s="105"/>
      <c r="D1" s="105"/>
      <c r="E1" s="105"/>
      <c r="F1" s="105"/>
    </row>
    <row r="2" spans="1:6" ht="25.5" customHeight="1" x14ac:dyDescent="0.25">
      <c r="A2" s="1" t="s">
        <v>1734</v>
      </c>
      <c r="B2" s="1" t="s">
        <v>1735</v>
      </c>
      <c r="C2" s="1" t="s">
        <v>1736</v>
      </c>
      <c r="D2" s="1" t="s">
        <v>1737</v>
      </c>
      <c r="E2" s="1" t="s">
        <v>1738</v>
      </c>
      <c r="F2" s="1"/>
    </row>
    <row r="3" spans="1:6" ht="18" customHeight="1" x14ac:dyDescent="0.25">
      <c r="A3" s="18" t="s">
        <v>1739</v>
      </c>
      <c r="B3" s="18" t="s">
        <v>1740</v>
      </c>
      <c r="C3" s="18" t="s">
        <v>1741</v>
      </c>
      <c r="D3" s="18" t="s">
        <v>1742</v>
      </c>
      <c r="E3" s="18" t="s">
        <v>1743</v>
      </c>
    </row>
    <row r="4" spans="1:6" ht="18" customHeight="1" x14ac:dyDescent="0.25">
      <c r="A4" s="45" t="s">
        <v>78</v>
      </c>
      <c r="B4" s="45" t="s">
        <v>1744</v>
      </c>
      <c r="C4" s="45" t="s">
        <v>1705</v>
      </c>
      <c r="D4" s="45" t="s">
        <v>1745</v>
      </c>
      <c r="E4" s="45" t="s">
        <v>1743</v>
      </c>
    </row>
    <row r="5" spans="1:6" ht="18" customHeight="1" x14ac:dyDescent="0.25">
      <c r="A5" s="18" t="s">
        <v>456</v>
      </c>
      <c r="B5" s="18" t="s">
        <v>1746</v>
      </c>
      <c r="C5" s="18" t="s">
        <v>1715</v>
      </c>
      <c r="D5" s="18" t="s">
        <v>1745</v>
      </c>
      <c r="E5" s="18" t="s">
        <v>1743</v>
      </c>
    </row>
    <row r="6" spans="1:6" ht="18" customHeight="1" x14ac:dyDescent="0.25">
      <c r="A6" s="45" t="s">
        <v>476</v>
      </c>
      <c r="B6" s="45" t="s">
        <v>1747</v>
      </c>
      <c r="C6" s="45" t="s">
        <v>1715</v>
      </c>
      <c r="D6" s="45" t="s">
        <v>1745</v>
      </c>
      <c r="E6" s="45" t="s">
        <v>1743</v>
      </c>
    </row>
    <row r="7" spans="1:6" ht="18" customHeight="1" x14ac:dyDescent="0.25">
      <c r="A7" s="18" t="s">
        <v>144</v>
      </c>
      <c r="B7" s="18" t="s">
        <v>1748</v>
      </c>
      <c r="C7" s="18" t="s">
        <v>1705</v>
      </c>
      <c r="D7" s="18" t="s">
        <v>1749</v>
      </c>
      <c r="E7" s="18" t="s">
        <v>1743</v>
      </c>
    </row>
    <row r="8" spans="1:6" ht="18" customHeight="1" x14ac:dyDescent="0.25">
      <c r="A8" s="45" t="s">
        <v>1750</v>
      </c>
      <c r="B8" s="45" t="s">
        <v>1751</v>
      </c>
      <c r="C8" s="45" t="s">
        <v>1705</v>
      </c>
      <c r="D8" s="45" t="s">
        <v>1752</v>
      </c>
      <c r="E8" s="45" t="s">
        <v>1743</v>
      </c>
    </row>
    <row r="9" spans="1:6" ht="18" customHeight="1" x14ac:dyDescent="0.25">
      <c r="A9" s="18" t="s">
        <v>154</v>
      </c>
      <c r="B9" s="18" t="s">
        <v>1753</v>
      </c>
      <c r="C9" s="18" t="s">
        <v>1705</v>
      </c>
      <c r="D9" s="18" t="s">
        <v>1754</v>
      </c>
      <c r="E9" s="18" t="s">
        <v>1743</v>
      </c>
    </row>
    <row r="10" spans="1:6" ht="18" customHeight="1" x14ac:dyDescent="0.25">
      <c r="A10" s="45" t="s">
        <v>214</v>
      </c>
      <c r="B10" s="45" t="s">
        <v>1755</v>
      </c>
      <c r="C10" s="45" t="s">
        <v>1709</v>
      </c>
      <c r="D10" s="45" t="s">
        <v>1756</v>
      </c>
      <c r="E10" s="45" t="s">
        <v>1743</v>
      </c>
    </row>
    <row r="11" spans="1:6" ht="18" customHeight="1" x14ac:dyDescent="0.25">
      <c r="A11" s="18" t="s">
        <v>236</v>
      </c>
      <c r="B11" s="18" t="s">
        <v>1757</v>
      </c>
      <c r="C11" s="18" t="s">
        <v>1758</v>
      </c>
      <c r="D11" s="18" t="s">
        <v>1759</v>
      </c>
      <c r="E11" s="18" t="s">
        <v>1743</v>
      </c>
    </row>
    <row r="12" spans="1:6" ht="18" customHeight="1" x14ac:dyDescent="0.25">
      <c r="A12" s="45" t="s">
        <v>258</v>
      </c>
      <c r="B12" s="45" t="s">
        <v>1760</v>
      </c>
      <c r="C12" s="45" t="s">
        <v>1761</v>
      </c>
      <c r="D12" s="45" t="s">
        <v>1762</v>
      </c>
      <c r="E12" s="45" t="s">
        <v>1743</v>
      </c>
    </row>
    <row r="13" spans="1:6" ht="18" customHeight="1" x14ac:dyDescent="0.25">
      <c r="A13" s="18" t="s">
        <v>330</v>
      </c>
      <c r="B13" s="18" t="s">
        <v>1763</v>
      </c>
      <c r="C13" s="18" t="s">
        <v>1711</v>
      </c>
      <c r="D13" s="18" t="s">
        <v>1764</v>
      </c>
      <c r="E13" s="18" t="s">
        <v>1743</v>
      </c>
    </row>
    <row r="14" spans="1:6" ht="18" customHeight="1" x14ac:dyDescent="0.25">
      <c r="A14" s="45" t="s">
        <v>1765</v>
      </c>
      <c r="B14" s="45" t="s">
        <v>1766</v>
      </c>
      <c r="C14" s="45" t="s">
        <v>1711</v>
      </c>
      <c r="D14" s="45" t="s">
        <v>1767</v>
      </c>
      <c r="E14" s="45" t="s">
        <v>1743</v>
      </c>
    </row>
    <row r="15" spans="1:6" ht="18" customHeight="1" x14ac:dyDescent="0.25">
      <c r="A15" s="18" t="s">
        <v>364</v>
      </c>
      <c r="B15" s="18" t="s">
        <v>1768</v>
      </c>
      <c r="C15" s="18" t="s">
        <v>1711</v>
      </c>
      <c r="D15" s="18" t="s">
        <v>1769</v>
      </c>
      <c r="E15" s="18" t="s">
        <v>1743</v>
      </c>
    </row>
    <row r="16" spans="1:6" ht="18" customHeight="1" x14ac:dyDescent="0.25">
      <c r="A16" s="45" t="s">
        <v>396</v>
      </c>
      <c r="B16" s="45" t="s">
        <v>1770</v>
      </c>
      <c r="C16" s="45" t="s">
        <v>1713</v>
      </c>
      <c r="D16" s="45" t="s">
        <v>1771</v>
      </c>
      <c r="E16" s="45" t="s">
        <v>1743</v>
      </c>
    </row>
    <row r="17" spans="1:5" ht="18" customHeight="1" x14ac:dyDescent="0.25">
      <c r="A17" s="18" t="s">
        <v>432</v>
      </c>
      <c r="B17" s="18" t="s">
        <v>1772</v>
      </c>
      <c r="C17" s="18" t="s">
        <v>1713</v>
      </c>
      <c r="D17" s="18" t="s">
        <v>1773</v>
      </c>
      <c r="E17" s="18" t="s">
        <v>1743</v>
      </c>
    </row>
    <row r="18" spans="1:5" ht="18" customHeight="1" x14ac:dyDescent="0.25">
      <c r="A18" s="45" t="s">
        <v>135</v>
      </c>
      <c r="B18" s="45" t="s">
        <v>1774</v>
      </c>
      <c r="C18" s="45" t="s">
        <v>1775</v>
      </c>
      <c r="D18" s="45" t="s">
        <v>1776</v>
      </c>
      <c r="E18" s="45" t="s">
        <v>1743</v>
      </c>
    </row>
    <row r="19" spans="1:5" ht="18" customHeight="1" x14ac:dyDescent="0.25">
      <c r="A19" s="18" t="s">
        <v>589</v>
      </c>
      <c r="B19" s="18" t="s">
        <v>1777</v>
      </c>
      <c r="C19" s="18" t="s">
        <v>1718</v>
      </c>
      <c r="D19" s="18" t="s">
        <v>1778</v>
      </c>
      <c r="E19" s="18" t="s">
        <v>1743</v>
      </c>
    </row>
    <row r="20" spans="1:5" ht="18" customHeight="1" x14ac:dyDescent="0.25">
      <c r="A20" s="45" t="s">
        <v>626</v>
      </c>
      <c r="B20" s="45" t="s">
        <v>1779</v>
      </c>
      <c r="C20" s="45" t="s">
        <v>1719</v>
      </c>
      <c r="D20" s="45" t="s">
        <v>1780</v>
      </c>
      <c r="E20" s="45" t="s">
        <v>1743</v>
      </c>
    </row>
    <row r="21" spans="1:5" ht="18" customHeight="1" x14ac:dyDescent="0.25">
      <c r="A21" s="18" t="s">
        <v>726</v>
      </c>
      <c r="B21" s="18" t="s">
        <v>1781</v>
      </c>
      <c r="C21" s="18" t="s">
        <v>1741</v>
      </c>
      <c r="D21" s="18" t="s">
        <v>1782</v>
      </c>
      <c r="E21" s="18" t="s">
        <v>1783</v>
      </c>
    </row>
    <row r="22" spans="1:5" ht="18" customHeight="1" x14ac:dyDescent="0.25">
      <c r="A22" s="45" t="s">
        <v>287</v>
      </c>
      <c r="B22" s="45" t="s">
        <v>1784</v>
      </c>
      <c r="C22" s="45" t="s">
        <v>1785</v>
      </c>
      <c r="D22" s="45" t="s">
        <v>1786</v>
      </c>
      <c r="E22" s="45" t="s">
        <v>1743</v>
      </c>
    </row>
    <row r="23" spans="1:5" ht="18" customHeight="1" x14ac:dyDescent="0.25">
      <c r="A23" s="18" t="s">
        <v>301</v>
      </c>
      <c r="B23" s="18" t="s">
        <v>1787</v>
      </c>
      <c r="C23" s="18" t="s">
        <v>1788</v>
      </c>
      <c r="D23" s="18" t="s">
        <v>1789</v>
      </c>
      <c r="E23" s="18" t="s">
        <v>1743</v>
      </c>
    </row>
    <row r="24" spans="1:5" ht="18" customHeight="1" x14ac:dyDescent="0.25">
      <c r="A24" s="45" t="s">
        <v>320</v>
      </c>
      <c r="B24" s="45" t="s">
        <v>1790</v>
      </c>
      <c r="C24" s="45" t="s">
        <v>1791</v>
      </c>
      <c r="D24" s="45" t="s">
        <v>1792</v>
      </c>
      <c r="E24" s="45" t="s">
        <v>1743</v>
      </c>
    </row>
    <row r="25" spans="1:5" ht="18" customHeight="1" x14ac:dyDescent="0.25">
      <c r="A25" s="18" t="s">
        <v>325</v>
      </c>
      <c r="B25" s="18" t="s">
        <v>1793</v>
      </c>
      <c r="C25" s="18" t="s">
        <v>1730</v>
      </c>
      <c r="D25" s="18" t="s">
        <v>1752</v>
      </c>
      <c r="E25" s="18" t="s">
        <v>1743</v>
      </c>
    </row>
    <row r="26" spans="1:5" ht="18" customHeight="1" x14ac:dyDescent="0.25">
      <c r="A26" s="45" t="s">
        <v>485</v>
      </c>
      <c r="B26" s="45" t="s">
        <v>1794</v>
      </c>
      <c r="C26" s="45" t="s">
        <v>1730</v>
      </c>
      <c r="D26" s="45" t="s">
        <v>1792</v>
      </c>
      <c r="E26" s="45" t="s">
        <v>1743</v>
      </c>
    </row>
    <row r="27" spans="1:5" ht="18" customHeight="1" x14ac:dyDescent="0.25">
      <c r="A27" s="18" t="s">
        <v>1270</v>
      </c>
      <c r="B27" s="18" t="s">
        <v>1795</v>
      </c>
      <c r="C27" s="18" t="s">
        <v>1730</v>
      </c>
      <c r="D27" s="18" t="s">
        <v>1792</v>
      </c>
      <c r="E27" s="18" t="s">
        <v>1743</v>
      </c>
    </row>
    <row r="28" spans="1:5" ht="18" customHeight="1" x14ac:dyDescent="0.25">
      <c r="A28" s="45" t="s">
        <v>1337</v>
      </c>
      <c r="B28" s="45" t="s">
        <v>1796</v>
      </c>
      <c r="C28" s="45" t="s">
        <v>1732</v>
      </c>
      <c r="D28" s="45" t="s">
        <v>1773</v>
      </c>
      <c r="E28" s="45" t="s">
        <v>1797</v>
      </c>
    </row>
    <row r="29" spans="1:5" ht="18" customHeight="1" x14ac:dyDescent="0.25">
      <c r="A29" s="18" t="s">
        <v>118</v>
      </c>
      <c r="B29" s="18" t="s">
        <v>1798</v>
      </c>
      <c r="C29" s="18" t="s">
        <v>1799</v>
      </c>
      <c r="D29" s="18" t="s">
        <v>1800</v>
      </c>
      <c r="E29" s="18" t="s">
        <v>1743</v>
      </c>
    </row>
    <row r="30" spans="1:5" ht="18" customHeight="1" x14ac:dyDescent="0.25">
      <c r="A30" s="45" t="s">
        <v>339</v>
      </c>
      <c r="B30" s="45" t="s">
        <v>1801</v>
      </c>
      <c r="C30" s="45" t="s">
        <v>1802</v>
      </c>
      <c r="D30" s="45" t="s">
        <v>1803</v>
      </c>
      <c r="E30" s="45" t="s">
        <v>1743</v>
      </c>
    </row>
    <row r="31" spans="1:5" ht="18" customHeight="1" x14ac:dyDescent="0.25">
      <c r="A31" s="18" t="s">
        <v>1038</v>
      </c>
      <c r="B31" s="18" t="s">
        <v>1804</v>
      </c>
      <c r="C31" s="18" t="s">
        <v>1805</v>
      </c>
      <c r="D31" s="18" t="s">
        <v>1806</v>
      </c>
      <c r="E31" s="18" t="s">
        <v>1743</v>
      </c>
    </row>
    <row r="32" spans="1:5" ht="18" customHeight="1" x14ac:dyDescent="0.25">
      <c r="A32" s="45" t="s">
        <v>205</v>
      </c>
      <c r="B32" s="45" t="s">
        <v>1807</v>
      </c>
      <c r="C32" s="45" t="s">
        <v>1808</v>
      </c>
      <c r="D32" s="45" t="s">
        <v>1809</v>
      </c>
      <c r="E32" s="45" t="s">
        <v>1743</v>
      </c>
    </row>
    <row r="33" spans="1:5" ht="18" customHeight="1" x14ac:dyDescent="0.25">
      <c r="A33" s="18" t="s">
        <v>893</v>
      </c>
      <c r="B33" s="18" t="s">
        <v>1810</v>
      </c>
      <c r="C33" s="18" t="s">
        <v>1811</v>
      </c>
      <c r="D33" s="18" t="s">
        <v>1812</v>
      </c>
      <c r="E33" s="18" t="s">
        <v>1743</v>
      </c>
    </row>
    <row r="34" spans="1:5" ht="18" customHeight="1" x14ac:dyDescent="0.25">
      <c r="A34" s="45" t="s">
        <v>907</v>
      </c>
      <c r="B34" s="45" t="s">
        <v>1813</v>
      </c>
      <c r="C34" s="45" t="s">
        <v>1723</v>
      </c>
      <c r="D34" s="45" t="s">
        <v>1814</v>
      </c>
      <c r="E34" s="45" t="s">
        <v>1743</v>
      </c>
    </row>
    <row r="35" spans="1:5" ht="18" customHeight="1" x14ac:dyDescent="0.25">
      <c r="A35" s="18" t="s">
        <v>1815</v>
      </c>
      <c r="B35" s="18" t="s">
        <v>1816</v>
      </c>
      <c r="C35" s="18" t="s">
        <v>1817</v>
      </c>
      <c r="D35" s="18" t="s">
        <v>1818</v>
      </c>
      <c r="E35" s="18" t="s">
        <v>1743</v>
      </c>
    </row>
    <row r="36" spans="1:5" ht="18" customHeight="1" x14ac:dyDescent="0.25">
      <c r="A36" s="45" t="s">
        <v>513</v>
      </c>
      <c r="B36" s="45" t="s">
        <v>1819</v>
      </c>
      <c r="C36" s="45" t="s">
        <v>1716</v>
      </c>
      <c r="D36" s="45" t="s">
        <v>1820</v>
      </c>
      <c r="E36" s="45" t="s">
        <v>1743</v>
      </c>
    </row>
    <row r="37" spans="1:5" ht="18" customHeight="1" x14ac:dyDescent="0.25">
      <c r="A37" s="18" t="s">
        <v>187</v>
      </c>
      <c r="B37" s="18" t="s">
        <v>1821</v>
      </c>
      <c r="C37" s="18" t="s">
        <v>1707</v>
      </c>
      <c r="D37" s="18" t="s">
        <v>1822</v>
      </c>
      <c r="E37" s="18" t="s">
        <v>1743</v>
      </c>
    </row>
    <row r="38" spans="1:5" ht="18" customHeight="1" x14ac:dyDescent="0.25">
      <c r="A38" s="45" t="s">
        <v>159</v>
      </c>
      <c r="B38" s="45" t="s">
        <v>1823</v>
      </c>
      <c r="C38" s="45" t="s">
        <v>1824</v>
      </c>
      <c r="D38" s="45" t="s">
        <v>1825</v>
      </c>
      <c r="E38" s="45" t="s">
        <v>1743</v>
      </c>
    </row>
    <row r="39" spans="1:5" ht="18" customHeight="1" x14ac:dyDescent="0.25">
      <c r="A39" s="18" t="s">
        <v>557</v>
      </c>
      <c r="B39" s="18" t="s">
        <v>1826</v>
      </c>
      <c r="C39" s="18" t="s">
        <v>1717</v>
      </c>
      <c r="D39" s="18" t="s">
        <v>1773</v>
      </c>
      <c r="E39" s="18" t="s">
        <v>1743</v>
      </c>
    </row>
    <row r="40" spans="1:5" ht="18" customHeight="1" x14ac:dyDescent="0.25">
      <c r="A40" s="45" t="s">
        <v>841</v>
      </c>
      <c r="B40" s="45" t="s">
        <v>1827</v>
      </c>
      <c r="C40" s="45" t="s">
        <v>1828</v>
      </c>
      <c r="D40" s="45" t="s">
        <v>1829</v>
      </c>
      <c r="E40" s="45" t="s">
        <v>1743</v>
      </c>
    </row>
    <row r="41" spans="1:5" ht="18" customHeight="1" x14ac:dyDescent="0.25">
      <c r="A41" s="18" t="s">
        <v>382</v>
      </c>
      <c r="B41" s="18" t="s">
        <v>1830</v>
      </c>
      <c r="C41" s="18" t="s">
        <v>1831</v>
      </c>
      <c r="D41" s="18" t="s">
        <v>1832</v>
      </c>
      <c r="E41" s="18" t="s">
        <v>1743</v>
      </c>
    </row>
    <row r="42" spans="1:5" ht="18" customHeight="1" x14ac:dyDescent="0.25">
      <c r="A42" s="45" t="s">
        <v>1833</v>
      </c>
      <c r="B42" s="45" t="s">
        <v>1834</v>
      </c>
      <c r="C42" s="45" t="s">
        <v>1835</v>
      </c>
      <c r="D42" s="45" t="s">
        <v>1836</v>
      </c>
      <c r="E42" s="45" t="s">
        <v>1743</v>
      </c>
    </row>
    <row r="43" spans="1:5" ht="18" customHeight="1" x14ac:dyDescent="0.25">
      <c r="A43" s="18" t="s">
        <v>103</v>
      </c>
      <c r="B43" s="18" t="s">
        <v>1837</v>
      </c>
      <c r="C43" s="18" t="s">
        <v>1838</v>
      </c>
      <c r="D43" s="18" t="s">
        <v>1839</v>
      </c>
      <c r="E43" s="18" t="s">
        <v>1743</v>
      </c>
    </row>
    <row r="44" spans="1:5" ht="18" customHeight="1" x14ac:dyDescent="0.25">
      <c r="A44" s="45" t="s">
        <v>765</v>
      </c>
      <c r="B44" s="45" t="s">
        <v>1840</v>
      </c>
      <c r="C44" s="45" t="s">
        <v>1722</v>
      </c>
      <c r="D44" s="45" t="s">
        <v>1841</v>
      </c>
      <c r="E44" s="45" t="s">
        <v>1743</v>
      </c>
    </row>
    <row r="45" spans="1:5" ht="18" customHeight="1" x14ac:dyDescent="0.25">
      <c r="A45" s="18" t="s">
        <v>267</v>
      </c>
      <c r="B45" s="18" t="s">
        <v>1842</v>
      </c>
      <c r="C45" s="18" t="s">
        <v>1843</v>
      </c>
      <c r="D45" s="18" t="s">
        <v>1756</v>
      </c>
      <c r="E45" s="18" t="s">
        <v>1743</v>
      </c>
    </row>
    <row r="46" spans="1:5" ht="18" customHeight="1" x14ac:dyDescent="0.25">
      <c r="A46" s="45" t="s">
        <v>1028</v>
      </c>
      <c r="B46" s="45" t="s">
        <v>1844</v>
      </c>
      <c r="C46" s="45" t="s">
        <v>1728</v>
      </c>
      <c r="D46" s="45" t="s">
        <v>1845</v>
      </c>
      <c r="E46" s="45" t="s">
        <v>1743</v>
      </c>
    </row>
    <row r="47" spans="1:5" ht="18" customHeight="1" x14ac:dyDescent="0.25">
      <c r="A47" s="18" t="s">
        <v>1846</v>
      </c>
      <c r="B47" s="18" t="s">
        <v>1847</v>
      </c>
      <c r="C47" s="18" t="s">
        <v>1730</v>
      </c>
      <c r="D47" s="18" t="s">
        <v>1848</v>
      </c>
      <c r="E47" s="18" t="s">
        <v>1743</v>
      </c>
    </row>
    <row r="48" spans="1:5" ht="18" customHeight="1" x14ac:dyDescent="0.25">
      <c r="A48" s="45" t="s">
        <v>1849</v>
      </c>
      <c r="B48" s="45" t="s">
        <v>1850</v>
      </c>
      <c r="C48" s="45" t="s">
        <v>1732</v>
      </c>
      <c r="D48" s="45" t="s">
        <v>1851</v>
      </c>
      <c r="E48" s="45" t="s">
        <v>1743</v>
      </c>
    </row>
  </sheetData>
  <autoFilter ref="A2:E2" xr:uid="{00000000-0009-0000-0000-000004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5bb77ec-1bde-412a-b733-0a1e523536a0}" enabled="1" method="Privileged" siteId="{20d4f9a1-9483-47d0-a13c-75cd0e008c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🏠 Start Here</vt:lpstr>
      <vt:lpstr>📋 Controls</vt:lpstr>
      <vt:lpstr>📁 Evidence Register</vt:lpstr>
      <vt:lpstr>📊 Dashboard</vt:lpstr>
      <vt:lpstr>📜 Policy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Danielle Robinson</cp:lastModifiedBy>
  <cp:revision>1</cp:revision>
  <dcterms:created xsi:type="dcterms:W3CDTF">2026-02-22T09:30:01Z</dcterms:created>
  <dcterms:modified xsi:type="dcterms:W3CDTF">2026-02-22T09:40:21Z</dcterms:modified>
  <dc:language>en-US</dc:language>
</cp:coreProperties>
</file>